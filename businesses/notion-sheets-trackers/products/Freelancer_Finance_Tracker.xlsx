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tings" sheetId="3" state="visible" r:id="rId3"/>
    <sheet name="Income" sheetId="4" state="visible" r:id="rId4"/>
    <sheet name="Expenses" sheetId="5" state="visible" r:id="rId5"/>
    <sheet name="Invoices" sheetId="6" state="visible" r:id="rId6"/>
    <sheet name="Clients" sheetId="7" state="visible" r:id="rId7"/>
    <sheet name="Tax Estima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$#,##0.00;[Red]-$#,##0.00"/>
  </numFmts>
  <fonts count="7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</font>
    <font>
      <b val="1"/>
    </font>
    <font>
      <name val="Calibri"/>
      <b val="1"/>
      <color rgb="00FFFFFF"/>
    </font>
    <font>
      <b val="1"/>
      <color rgb="001F2A44"/>
      <sz val="12"/>
    </font>
    <font>
      <b val="1"/>
      <color rgb="001F2A44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2A44"/>
      </patternFill>
    </fill>
    <fill>
      <patternFill patternType="solid">
        <fgColor rgb="00EAF4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3" fillId="4" borderId="1" pivotButton="0" quotePrefix="0" xfId="0"/>
    <xf numFmtId="166" fontId="5" fillId="0" borderId="1" pivotButton="0" quotePrefix="0" xfId="0"/>
    <xf numFmtId="166" fontId="0" fillId="0" borderId="0" pivotButton="0" quotePrefix="0" xfId="0"/>
    <xf numFmtId="164" fontId="5" fillId="0" borderId="1" pivotButton="0" quotePrefix="0" xfId="0"/>
    <xf numFmtId="1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" fontId="0" fillId="2" borderId="1" pivotButton="0" quotePrefix="0" xfId="0"/>
    <xf numFmtId="164" fontId="0" fillId="2" borderId="1" pivotButton="0" quotePrefix="0" xfId="0"/>
    <xf numFmtId="10" fontId="0" fillId="2" borderId="1" pivotButton="0" quotePrefix="0" xfId="0"/>
    <xf numFmtId="165" fontId="0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166" fontId="0" fillId="2" borderId="1" pivotButton="0" quotePrefix="0" xfId="0"/>
    <xf numFmtId="9" fontId="0" fillId="2" borderId="1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numRef>
              <f>'Dashboard'!$D$4:$D$15</f>
            </numRef>
          </cat>
          <val>
            <numRef>
              <f>'Dashboard'!$E$4:$E$15</f>
            </numRef>
          </val>
        </ser>
        <ser>
          <idx val="1"/>
          <order val="1"/>
          <tx>
            <strRef>
              <f>'Dashboard'!F3</f>
            </strRef>
          </tx>
          <spPr>
            <a:ln>
              <a:prstDash val="solid"/>
            </a:ln>
          </spPr>
          <cat>
            <numRef>
              <f>'Dashboard'!$D$4:$D$15</f>
            </numRef>
          </cat>
          <val>
            <numRef>
              <f>'Dashboard'!$F$4:$F$15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'Dashboard'!$A$18:$A$31</f>
            </numRef>
          </cat>
          <val>
            <numRef>
              <f>'Dashboard'!$B$18:$B$31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Freelancer Finance Tracker - Start Here</t>
        </is>
      </c>
    </row>
    <row r="3">
      <c r="A3" t="inlineStr">
        <is>
          <t>1. Settings: set your tax year, tax rates and due dates (yellow cells).</t>
        </is>
      </c>
    </row>
    <row r="4">
      <c r="A4" t="inlineStr">
        <is>
          <t>2. Invoices: log each invoice you send (number, client, date, terms, amount).</t>
        </is>
      </c>
    </row>
    <row r="5">
      <c r="A5" t="inlineStr">
        <is>
          <t>3. Income: log every payment you receive. Enter the Invoice # and the invoice marks itself Paid / Partial.</t>
        </is>
      </c>
    </row>
    <row r="6">
      <c r="A6" t="inlineStr">
        <is>
          <t>4. Expenses: log business costs; pick a category; use Deductible % for partly personal items.</t>
        </is>
      </c>
    </row>
    <row r="7">
      <c r="A7" t="inlineStr">
        <is>
          <t>5. Clients: type your client names in column A to see who pays you and who owes you.</t>
        </is>
      </c>
    </row>
    <row r="8">
      <c r="A8" t="inlineStr">
        <is>
          <t>6. Dashboard + Tax Estimator update automatically. Move the 'tax to set aside' into savings.</t>
        </is>
      </c>
    </row>
    <row r="9">
      <c r="A9" t="inlineStr"/>
    </row>
    <row r="10">
      <c r="A10" t="inlineStr">
        <is>
          <t>Yellow = you type. White = formulas, do not overwrite. Rows 5-504 on each log are pre-built.</t>
        </is>
      </c>
    </row>
    <row r="11">
      <c r="A11" t="inlineStr">
        <is>
          <t>Google Sheets: File &gt; Import &gt; Upload &gt; 'Replace spreadsheet'. Formulas and dropdowns carry over.</t>
        </is>
      </c>
    </row>
    <row r="12">
      <c r="A12" t="inlineStr">
        <is>
          <t>Disclaimer: planning tool, not tax or legal advice. Check rates at irs.gov or with a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Freelancer Finance Dashboard</t>
        </is>
      </c>
    </row>
    <row r="2">
      <c r="A2" s="2">
        <f>"Tax year "&amp;Settings!B4&amp;"  |  updated "&amp;TEXT(TODAY(),"yyyy-mm-dd")</f>
        <v/>
      </c>
    </row>
    <row r="3">
      <c r="D3" s="3" t="inlineStr">
        <is>
          <t>Month</t>
        </is>
      </c>
      <c r="E3" s="3" t="inlineStr">
        <is>
          <t>Income</t>
        </is>
      </c>
      <c r="F3" s="3" t="inlineStr">
        <is>
          <t>Expenses</t>
        </is>
      </c>
      <c r="G3" s="3" t="inlineStr">
        <is>
          <t>Profit</t>
        </is>
      </c>
    </row>
    <row r="4">
      <c r="A4" s="4" t="inlineStr">
        <is>
          <t>Income (YTD)</t>
        </is>
      </c>
      <c r="B4" s="5">
        <f>SUMIFS(Income!$E$5:$E$504,Income!$G$5:$G$504,Settings!$B$4)</f>
        <v/>
      </c>
      <c r="D4" t="inlineStr">
        <is>
          <t>Jan</t>
        </is>
      </c>
      <c r="E4" s="6">
        <f>SUMIFS(Income!$E$5:$E$504,Income!$I$5:$I$504,1,Income!$G$5:$G$504,Settings!$B$4)</f>
        <v/>
      </c>
      <c r="F4" s="6">
        <f>SUMIFS(Expenses!$G$5:$G$504,Expenses!$J$5:$J$504,1,Expenses!$H$5:$H$504,Settings!$B$4)</f>
        <v/>
      </c>
      <c r="G4" s="6">
        <f>E4-F4</f>
        <v/>
      </c>
    </row>
    <row r="5">
      <c r="A5" s="4" t="inlineStr">
        <is>
          <t>Deductible expenses</t>
        </is>
      </c>
      <c r="B5" s="5">
        <f>SUMIFS(Expenses!$G$5:$G$504,Expenses!$H$5:$H$504,Settings!$B$4)</f>
        <v/>
      </c>
      <c r="D5" t="inlineStr">
        <is>
          <t>Feb</t>
        </is>
      </c>
      <c r="E5" s="6">
        <f>SUMIFS(Income!$E$5:$E$504,Income!$I$5:$I$504,2,Income!$G$5:$G$504,Settings!$B$4)</f>
        <v/>
      </c>
      <c r="F5" s="6">
        <f>SUMIFS(Expenses!$G$5:$G$504,Expenses!$J$5:$J$504,2,Expenses!$H$5:$H$504,Settings!$B$4)</f>
        <v/>
      </c>
      <c r="G5" s="6">
        <f>E5-F5</f>
        <v/>
      </c>
    </row>
    <row r="6">
      <c r="A6" s="4" t="inlineStr">
        <is>
          <t>Net profit</t>
        </is>
      </c>
      <c r="B6" s="5">
        <f>B4-B5</f>
        <v/>
      </c>
      <c r="D6" t="inlineStr">
        <is>
          <t>Mar</t>
        </is>
      </c>
      <c r="E6" s="6">
        <f>SUMIFS(Income!$E$5:$E$504,Income!$I$5:$I$504,3,Income!$G$5:$G$504,Settings!$B$4)</f>
        <v/>
      </c>
      <c r="F6" s="6">
        <f>SUMIFS(Expenses!$G$5:$G$504,Expenses!$J$5:$J$504,3,Expenses!$H$5:$H$504,Settings!$B$4)</f>
        <v/>
      </c>
      <c r="G6" s="6">
        <f>E6-F6</f>
        <v/>
      </c>
    </row>
    <row r="7">
      <c r="A7" s="4" t="inlineStr">
        <is>
          <t>Profit margin</t>
        </is>
      </c>
      <c r="B7" s="7">
        <f>IF(B4=0,0,B6/B4)</f>
        <v/>
      </c>
      <c r="D7" t="inlineStr">
        <is>
          <t>Apr</t>
        </is>
      </c>
      <c r="E7" s="6">
        <f>SUMIFS(Income!$E$5:$E$504,Income!$I$5:$I$504,4,Income!$G$5:$G$504,Settings!$B$4)</f>
        <v/>
      </c>
      <c r="F7" s="6">
        <f>SUMIFS(Expenses!$G$5:$G$504,Expenses!$J$5:$J$504,4,Expenses!$H$5:$H$504,Settings!$B$4)</f>
        <v/>
      </c>
      <c r="G7" s="6">
        <f>E7-F7</f>
        <v/>
      </c>
    </row>
    <row r="8">
      <c r="A8" s="4" t="inlineStr">
        <is>
          <t>Tax to set aside (est.)</t>
        </is>
      </c>
      <c r="B8" s="5">
        <f>'Tax Estimator'!H9</f>
        <v/>
      </c>
      <c r="D8" t="inlineStr">
        <is>
          <t>May</t>
        </is>
      </c>
      <c r="E8" s="6">
        <f>SUMIFS(Income!$E$5:$E$504,Income!$I$5:$I$504,5,Income!$G$5:$G$504,Settings!$B$4)</f>
        <v/>
      </c>
      <c r="F8" s="6">
        <f>SUMIFS(Expenses!$G$5:$G$504,Expenses!$J$5:$J$504,5,Expenses!$H$5:$H$504,Settings!$B$4)</f>
        <v/>
      </c>
      <c r="G8" s="6">
        <f>E8-F8</f>
        <v/>
      </c>
    </row>
    <row r="9">
      <c r="A9" s="4" t="inlineStr">
        <is>
          <t>Take-home after tax (est.)</t>
        </is>
      </c>
      <c r="B9" s="5">
        <f>B6-B8</f>
        <v/>
      </c>
      <c r="D9" t="inlineStr">
        <is>
          <t>Jun</t>
        </is>
      </c>
      <c r="E9" s="6">
        <f>SUMIFS(Income!$E$5:$E$504,Income!$I$5:$I$504,6,Income!$G$5:$G$504,Settings!$B$4)</f>
        <v/>
      </c>
      <c r="F9" s="6">
        <f>SUMIFS(Expenses!$G$5:$G$504,Expenses!$J$5:$J$504,6,Expenses!$H$5:$H$504,Settings!$B$4)</f>
        <v/>
      </c>
      <c r="G9" s="6">
        <f>E9-F9</f>
        <v/>
      </c>
    </row>
    <row r="10">
      <c r="A10" s="4" t="inlineStr">
        <is>
          <t>Outstanding invoices</t>
        </is>
      </c>
      <c r="B10" s="5">
        <f>SUM(Invoices!$H$5:$H$504)</f>
        <v/>
      </c>
      <c r="D10" t="inlineStr">
        <is>
          <t>Jul</t>
        </is>
      </c>
      <c r="E10" s="6">
        <f>SUMIFS(Income!$E$5:$E$504,Income!$I$5:$I$504,7,Income!$G$5:$G$504,Settings!$B$4)</f>
        <v/>
      </c>
      <c r="F10" s="6">
        <f>SUMIFS(Expenses!$G$5:$G$504,Expenses!$J$5:$J$504,7,Expenses!$H$5:$H$504,Settings!$B$4)</f>
        <v/>
      </c>
      <c r="G10" s="6">
        <f>E10-F10</f>
        <v/>
      </c>
    </row>
    <row r="11">
      <c r="A11" s="4" t="inlineStr">
        <is>
          <t>Overdue amount</t>
        </is>
      </c>
      <c r="B11" s="5">
        <f>SUMIFS(Invoices!$H$5:$H$504,Invoices!$I$5:$I$504,"Overdue")</f>
        <v/>
      </c>
      <c r="D11" t="inlineStr">
        <is>
          <t>Aug</t>
        </is>
      </c>
      <c r="E11" s="6">
        <f>SUMIFS(Income!$E$5:$E$504,Income!$I$5:$I$504,8,Income!$G$5:$G$504,Settings!$B$4)</f>
        <v/>
      </c>
      <c r="F11" s="6">
        <f>SUMIFS(Expenses!$G$5:$G$504,Expenses!$J$5:$J$504,8,Expenses!$H$5:$H$504,Settings!$B$4)</f>
        <v/>
      </c>
      <c r="G11" s="6">
        <f>E11-F11</f>
        <v/>
      </c>
    </row>
    <row r="12">
      <c r="A12" s="4" t="inlineStr">
        <is>
          <t>Overdue invoices (count)</t>
        </is>
      </c>
      <c r="B12" s="8">
        <f>COUNTIFS(Invoices!$I$5:$I$504,"Overdue")</f>
        <v/>
      </c>
      <c r="D12" t="inlineStr">
        <is>
          <t>Sep</t>
        </is>
      </c>
      <c r="E12" s="6">
        <f>SUMIFS(Income!$E$5:$E$504,Income!$I$5:$I$504,9,Income!$G$5:$G$504,Settings!$B$4)</f>
        <v/>
      </c>
      <c r="F12" s="6">
        <f>SUMIFS(Expenses!$G$5:$G$504,Expenses!$J$5:$J$504,9,Expenses!$H$5:$H$504,Settings!$B$4)</f>
        <v/>
      </c>
      <c r="G12" s="6">
        <f>E12-F12</f>
        <v/>
      </c>
    </row>
    <row r="13">
      <c r="A13" s="4" t="inlineStr">
        <is>
          <t>Top client share of income</t>
        </is>
      </c>
      <c r="B13" s="7">
        <f>IF(SUM(Clients!C5:C34)=0,0,MAX(Clients!E5:E34))</f>
        <v/>
      </c>
      <c r="D13" t="inlineStr">
        <is>
          <t>Oct</t>
        </is>
      </c>
      <c r="E13" s="6">
        <f>SUMIFS(Income!$E$5:$E$504,Income!$I$5:$I$504,10,Income!$G$5:$G$504,Settings!$B$4)</f>
        <v/>
      </c>
      <c r="F13" s="6">
        <f>SUMIFS(Expenses!$G$5:$G$504,Expenses!$J$5:$J$504,10,Expenses!$H$5:$H$504,Settings!$B$4)</f>
        <v/>
      </c>
      <c r="G13" s="6">
        <f>E13-F13</f>
        <v/>
      </c>
    </row>
    <row r="14">
      <c r="D14" t="inlineStr">
        <is>
          <t>Nov</t>
        </is>
      </c>
      <c r="E14" s="6">
        <f>SUMIFS(Income!$E$5:$E$504,Income!$I$5:$I$504,11,Income!$G$5:$G$504,Settings!$B$4)</f>
        <v/>
      </c>
      <c r="F14" s="6">
        <f>SUMIFS(Expenses!$G$5:$G$504,Expenses!$J$5:$J$504,11,Expenses!$H$5:$H$504,Settings!$B$4)</f>
        <v/>
      </c>
      <c r="G14" s="6">
        <f>E14-F14</f>
        <v/>
      </c>
    </row>
    <row r="15">
      <c r="D15" t="inlineStr">
        <is>
          <t>Dec</t>
        </is>
      </c>
      <c r="E15" s="6">
        <f>SUMIFS(Income!$E$5:$E$504,Income!$I$5:$I$504,12,Income!$G$5:$G$504,Settings!$B$4)</f>
        <v/>
      </c>
      <c r="F15" s="6">
        <f>SUMIFS(Expenses!$G$5:$G$504,Expenses!$J$5:$J$504,12,Expenses!$H$5:$H$504,Settings!$B$4)</f>
        <v/>
      </c>
      <c r="G15" s="6">
        <f>E15-F15</f>
        <v/>
      </c>
    </row>
    <row r="16">
      <c r="A16" s="9" t="inlineStr">
        <is>
          <t>Spending by category</t>
        </is>
      </c>
      <c r="D16" s="10" t="inlineStr">
        <is>
          <t>Total</t>
        </is>
      </c>
      <c r="E16" s="11">
        <f>SUM(E4:E15)</f>
        <v/>
      </c>
      <c r="F16" s="11">
        <f>SUM(F4:F15)</f>
        <v/>
      </c>
      <c r="G16" s="11">
        <f>SUM(G4:G15)</f>
        <v/>
      </c>
    </row>
    <row r="17">
      <c r="A17" s="3" t="inlineStr">
        <is>
          <t>Category</t>
        </is>
      </c>
      <c r="B17" s="3" t="inlineStr">
        <is>
          <t>Deductible $</t>
        </is>
      </c>
    </row>
    <row r="18">
      <c r="A18">
        <f>Settings!A18</f>
        <v/>
      </c>
      <c r="B18" s="6">
        <f>SUMIFS(Expenses!$G$5:$G$504,Expenses!$C$5:$C$504,A18,Expenses!$H$5:$H$504,Settings!$B$4)</f>
        <v/>
      </c>
    </row>
    <row r="19">
      <c r="A19">
        <f>Settings!A19</f>
        <v/>
      </c>
      <c r="B19" s="6">
        <f>SUMIFS(Expenses!$G$5:$G$504,Expenses!$C$5:$C$504,A19,Expenses!$H$5:$H$504,Settings!$B$4)</f>
        <v/>
      </c>
    </row>
    <row r="20">
      <c r="A20">
        <f>Settings!A20</f>
        <v/>
      </c>
      <c r="B20" s="6">
        <f>SUMIFS(Expenses!$G$5:$G$504,Expenses!$C$5:$C$504,A20,Expenses!$H$5:$H$504,Settings!$B$4)</f>
        <v/>
      </c>
    </row>
    <row r="21">
      <c r="A21">
        <f>Settings!A21</f>
        <v/>
      </c>
      <c r="B21" s="6">
        <f>SUMIFS(Expenses!$G$5:$G$504,Expenses!$C$5:$C$504,A21,Expenses!$H$5:$H$504,Settings!$B$4)</f>
        <v/>
      </c>
    </row>
    <row r="22">
      <c r="A22">
        <f>Settings!A22</f>
        <v/>
      </c>
      <c r="B22" s="6">
        <f>SUMIFS(Expenses!$G$5:$G$504,Expenses!$C$5:$C$504,A22,Expenses!$H$5:$H$504,Settings!$B$4)</f>
        <v/>
      </c>
    </row>
    <row r="23">
      <c r="A23">
        <f>Settings!A23</f>
        <v/>
      </c>
      <c r="B23" s="6">
        <f>SUMIFS(Expenses!$G$5:$G$504,Expenses!$C$5:$C$504,A23,Expenses!$H$5:$H$504,Settings!$B$4)</f>
        <v/>
      </c>
    </row>
    <row r="24">
      <c r="A24">
        <f>Settings!A24</f>
        <v/>
      </c>
      <c r="B24" s="6">
        <f>SUMIFS(Expenses!$G$5:$G$504,Expenses!$C$5:$C$504,A24,Expenses!$H$5:$H$504,Settings!$B$4)</f>
        <v/>
      </c>
    </row>
    <row r="25">
      <c r="A25">
        <f>Settings!A25</f>
        <v/>
      </c>
      <c r="B25" s="6">
        <f>SUMIFS(Expenses!$G$5:$G$504,Expenses!$C$5:$C$504,A25,Expenses!$H$5:$H$504,Settings!$B$4)</f>
        <v/>
      </c>
    </row>
    <row r="26">
      <c r="A26">
        <f>Settings!A26</f>
        <v/>
      </c>
      <c r="B26" s="6">
        <f>SUMIFS(Expenses!$G$5:$G$504,Expenses!$C$5:$C$504,A26,Expenses!$H$5:$H$504,Settings!$B$4)</f>
        <v/>
      </c>
    </row>
    <row r="27">
      <c r="A27">
        <f>Settings!A27</f>
        <v/>
      </c>
      <c r="B27" s="6">
        <f>SUMIFS(Expenses!$G$5:$G$504,Expenses!$C$5:$C$504,A27,Expenses!$H$5:$H$504,Settings!$B$4)</f>
        <v/>
      </c>
    </row>
    <row r="28">
      <c r="A28">
        <f>Settings!A28</f>
        <v/>
      </c>
      <c r="B28" s="6">
        <f>SUMIFS(Expenses!$G$5:$G$504,Expenses!$C$5:$C$504,A28,Expenses!$H$5:$H$504,Settings!$B$4)</f>
        <v/>
      </c>
    </row>
    <row r="29">
      <c r="A29">
        <f>Settings!A29</f>
        <v/>
      </c>
      <c r="B29" s="6">
        <f>SUMIFS(Expenses!$G$5:$G$504,Expenses!$C$5:$C$504,A29,Expenses!$H$5:$H$504,Settings!$B$4)</f>
        <v/>
      </c>
    </row>
    <row r="30">
      <c r="A30">
        <f>Settings!A30</f>
        <v/>
      </c>
      <c r="B30" s="6">
        <f>SUMIFS(Expenses!$G$5:$G$504,Expenses!$C$5:$C$504,A30,Expenses!$H$5:$H$504,Settings!$B$4)</f>
        <v/>
      </c>
    </row>
    <row r="31">
      <c r="A31">
        <f>Settings!A31</f>
        <v/>
      </c>
      <c r="B31" s="6">
        <f>SUMIFS(Expenses!$G$5:$G$504,Expenses!$C$5:$C$504,A31,Expenses!$H$5:$H$504,Settings!$B$4)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70" customWidth="1" min="4" max="4"/>
  </cols>
  <sheetData>
    <row r="1">
      <c r="A1" s="1" t="inlineStr">
        <is>
          <t>Settings</t>
        </is>
      </c>
    </row>
    <row r="2">
      <c r="A2" s="2" t="inlineStr">
        <is>
          <t>Yellow cells are yours to edit. Everything else calculates.</t>
        </is>
      </c>
    </row>
    <row r="4">
      <c r="A4" t="inlineStr">
        <is>
          <t>Tax year</t>
        </is>
      </c>
      <c r="B4" s="12" t="n">
        <v>2026</v>
      </c>
      <c r="D4" s="10" t="inlineStr">
        <is>
          <t>Notes</t>
        </is>
      </c>
    </row>
    <row r="5">
      <c r="A5" t="inlineStr">
        <is>
          <t>Self-employment tax rate</t>
        </is>
      </c>
      <c r="B5" s="13" t="n">
        <v>0.153</v>
      </c>
      <c r="D5" t="inlineStr">
        <is>
          <t>Tax periods follow the IRS estimated-tax schedule, not calendar quarters:</t>
        </is>
      </c>
    </row>
    <row r="6">
      <c r="A6" t="inlineStr">
        <is>
          <t>Net earnings factor (SE base)</t>
        </is>
      </c>
      <c r="B6" s="14" t="n">
        <v>0.9235</v>
      </c>
      <c r="D6" t="inlineStr">
        <is>
          <t>P1 Jan-Mar, P2 Apr-May, P3 Jun-Aug, P4 Sep-Dec.</t>
        </is>
      </c>
    </row>
    <row r="7">
      <c r="A7" t="inlineStr">
        <is>
          <t>Est. income tax rate on profit</t>
        </is>
      </c>
      <c r="B7" s="13" t="n">
        <v>0.12</v>
      </c>
      <c r="D7" t="inlineStr">
        <is>
          <t>Default rates are placeholders - set them with your accountant or IRS Form 1040-ES.</t>
        </is>
      </c>
    </row>
    <row r="8">
      <c r="A8" t="inlineStr">
        <is>
          <t>State / local tax rate on profit</t>
        </is>
      </c>
      <c r="B8" s="13" t="n">
        <v>0.04</v>
      </c>
      <c r="D8" t="inlineStr">
        <is>
          <t>This workbook gives estimates for planning. It is not tax advice.</t>
        </is>
      </c>
    </row>
    <row r="9">
      <c r="A9" t="inlineStr">
        <is>
          <t>Extra cushion on tax set-aside</t>
        </is>
      </c>
      <c r="B9" s="13" t="n">
        <v>0.05</v>
      </c>
    </row>
    <row r="11">
      <c r="A11" s="10" t="inlineStr">
        <is>
          <t>Estimated-tax payment due dates (edit if the IRS shifts them)</t>
        </is>
      </c>
    </row>
    <row r="12">
      <c r="A12" t="inlineStr">
        <is>
          <t>Period 1 (Jan-Mar)</t>
        </is>
      </c>
      <c r="B12" s="15" t="n">
        <v>46127</v>
      </c>
    </row>
    <row r="13">
      <c r="A13" t="inlineStr">
        <is>
          <t>Period 2 (Apr-May)</t>
        </is>
      </c>
      <c r="B13" s="15" t="n">
        <v>46188</v>
      </c>
    </row>
    <row r="14">
      <c r="A14" t="inlineStr">
        <is>
          <t>Period 3 (Jun-Aug)</t>
        </is>
      </c>
      <c r="B14" s="15" t="n">
        <v>46280</v>
      </c>
    </row>
    <row r="15">
      <c r="A15" t="inlineStr">
        <is>
          <t>Period 4 (Sep-Dec)</t>
        </is>
      </c>
      <c r="B15" s="15" t="n">
        <v>46405</v>
      </c>
    </row>
    <row r="17">
      <c r="A17" s="10" t="inlineStr">
        <is>
          <t>Expense categories (edit the list; dropdown on Expenses uses it)</t>
        </is>
      </c>
    </row>
    <row r="18">
      <c r="A18" s="16" t="inlineStr">
        <is>
          <t>Software &amp; Subscriptions</t>
        </is>
      </c>
    </row>
    <row r="19">
      <c r="A19" s="16" t="inlineStr">
        <is>
          <t>Equipment &amp; Hardware</t>
        </is>
      </c>
    </row>
    <row r="20">
      <c r="A20" s="16" t="inlineStr">
        <is>
          <t>Home Office</t>
        </is>
      </c>
    </row>
    <row r="21">
      <c r="A21" s="16" t="inlineStr">
        <is>
          <t>Internet &amp; Phone</t>
        </is>
      </c>
    </row>
    <row r="22">
      <c r="A22" s="16" t="inlineStr">
        <is>
          <t>Marketing &amp; Advertising</t>
        </is>
      </c>
    </row>
    <row r="23">
      <c r="A23" s="16" t="inlineStr">
        <is>
          <t>Professional Services</t>
        </is>
      </c>
    </row>
    <row r="24">
      <c r="A24" s="16" t="inlineStr">
        <is>
          <t>Education &amp; Training</t>
        </is>
      </c>
    </row>
    <row r="25">
      <c r="A25" s="16" t="inlineStr">
        <is>
          <t>Travel</t>
        </is>
      </c>
    </row>
    <row r="26">
      <c r="A26" s="16" t="inlineStr">
        <is>
          <t>Meals (50%)</t>
        </is>
      </c>
    </row>
    <row r="27">
      <c r="A27" s="16" t="inlineStr">
        <is>
          <t>Contractors &amp; Subcontractors</t>
        </is>
      </c>
    </row>
    <row r="28">
      <c r="A28" s="16" t="inlineStr">
        <is>
          <t>Bank &amp; Payment Fees</t>
        </is>
      </c>
    </row>
    <row r="29">
      <c r="A29" s="16" t="inlineStr">
        <is>
          <t>Insurance</t>
        </is>
      </c>
    </row>
    <row r="30">
      <c r="A30" s="16" t="inlineStr">
        <is>
          <t>Office Supplies</t>
        </is>
      </c>
    </row>
    <row r="31">
      <c r="A31" s="16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34" customWidth="1" min="4" max="4"/>
    <col width="14" customWidth="1" min="5" max="5"/>
    <col width="16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Income log</t>
        </is>
      </c>
    </row>
    <row r="2">
      <c r="A2" s="2" t="inlineStr">
        <is>
          <t>One row per payment received. Put the Invoice # to auto-reconcile the Invoices sheet.</t>
        </is>
      </c>
    </row>
    <row r="4" ht="30" customHeight="1">
      <c r="A4" s="17" t="inlineStr">
        <is>
          <t>Date received</t>
        </is>
      </c>
      <c r="B4" s="17" t="inlineStr">
        <is>
          <t>Client</t>
        </is>
      </c>
      <c r="C4" s="17" t="inlineStr">
        <is>
          <t>Invoice #</t>
        </is>
      </c>
      <c r="D4" s="17" t="inlineStr">
        <is>
          <t>Description</t>
        </is>
      </c>
      <c r="E4" s="17" t="inlineStr">
        <is>
          <t>Amount</t>
        </is>
      </c>
      <c r="F4" s="17" t="inlineStr">
        <is>
          <t>Payment method</t>
        </is>
      </c>
      <c r="G4" s="17" t="inlineStr">
        <is>
          <t>Year</t>
        </is>
      </c>
      <c r="H4" s="17" t="inlineStr">
        <is>
          <t>Tax period</t>
        </is>
      </c>
      <c r="I4" s="17" t="inlineStr">
        <is>
          <t>Month</t>
        </is>
      </c>
    </row>
    <row r="5">
      <c r="A5" s="15" t="n"/>
      <c r="B5" s="16" t="n"/>
      <c r="C5" s="16" t="n"/>
      <c r="D5" s="16" t="n"/>
      <c r="E5" s="18" t="n"/>
      <c r="F5" s="16" t="n"/>
      <c r="G5">
        <f>IF(A5="","",YEAR(A5))</f>
        <v/>
      </c>
      <c r="H5">
        <f>IF(A5="","",IF(MONTH(A5)&lt;=3,1,IF(MONTH(A5)&lt;=5,2,IF(MONTH(A5)&lt;=8,3,4))))</f>
        <v/>
      </c>
      <c r="I5">
        <f>IF(A5="","",MONTH(A5))</f>
        <v/>
      </c>
    </row>
    <row r="6">
      <c r="A6" s="15" t="n"/>
      <c r="B6" s="16" t="n"/>
      <c r="C6" s="16" t="n"/>
      <c r="D6" s="16" t="n"/>
      <c r="E6" s="18" t="n"/>
      <c r="F6" s="16" t="n"/>
      <c r="G6">
        <f>IF(A6="","",YEAR(A6))</f>
        <v/>
      </c>
      <c r="H6">
        <f>IF(A6="","",IF(MONTH(A6)&lt;=3,1,IF(MONTH(A6)&lt;=5,2,IF(MONTH(A6)&lt;=8,3,4))))</f>
        <v/>
      </c>
      <c r="I6">
        <f>IF(A6="","",MONTH(A6))</f>
        <v/>
      </c>
    </row>
    <row r="7">
      <c r="A7" s="15" t="n"/>
      <c r="B7" s="16" t="n"/>
      <c r="C7" s="16" t="n"/>
      <c r="D7" s="16" t="n"/>
      <c r="E7" s="18" t="n"/>
      <c r="F7" s="16" t="n"/>
      <c r="G7">
        <f>IF(A7="","",YEAR(A7))</f>
        <v/>
      </c>
      <c r="H7">
        <f>IF(A7="","",IF(MONTH(A7)&lt;=3,1,IF(MONTH(A7)&lt;=5,2,IF(MONTH(A7)&lt;=8,3,4))))</f>
        <v/>
      </c>
      <c r="I7">
        <f>IF(A7="","",MONTH(A7))</f>
        <v/>
      </c>
    </row>
    <row r="8">
      <c r="A8" s="15" t="n"/>
      <c r="B8" s="16" t="n"/>
      <c r="C8" s="16" t="n"/>
      <c r="D8" s="16" t="n"/>
      <c r="E8" s="18" t="n"/>
      <c r="F8" s="16" t="n"/>
      <c r="G8">
        <f>IF(A8="","",YEAR(A8))</f>
        <v/>
      </c>
      <c r="H8">
        <f>IF(A8="","",IF(MONTH(A8)&lt;=3,1,IF(MONTH(A8)&lt;=5,2,IF(MONTH(A8)&lt;=8,3,4))))</f>
        <v/>
      </c>
      <c r="I8">
        <f>IF(A8="","",MONTH(A8))</f>
        <v/>
      </c>
    </row>
    <row r="9">
      <c r="A9" s="15" t="n"/>
      <c r="B9" s="16" t="n"/>
      <c r="C9" s="16" t="n"/>
      <c r="D9" s="16" t="n"/>
      <c r="E9" s="18" t="n"/>
      <c r="F9" s="16" t="n"/>
      <c r="G9">
        <f>IF(A9="","",YEAR(A9))</f>
        <v/>
      </c>
      <c r="H9">
        <f>IF(A9="","",IF(MONTH(A9)&lt;=3,1,IF(MONTH(A9)&lt;=5,2,IF(MONTH(A9)&lt;=8,3,4))))</f>
        <v/>
      </c>
      <c r="I9">
        <f>IF(A9="","",MONTH(A9))</f>
        <v/>
      </c>
    </row>
    <row r="10">
      <c r="A10" s="15" t="n"/>
      <c r="B10" s="16" t="n"/>
      <c r="C10" s="16" t="n"/>
      <c r="D10" s="16" t="n"/>
      <c r="E10" s="18" t="n"/>
      <c r="F10" s="16" t="n"/>
      <c r="G10">
        <f>IF(A10="","",YEAR(A10))</f>
        <v/>
      </c>
      <c r="H10">
        <f>IF(A10="","",IF(MONTH(A10)&lt;=3,1,IF(MONTH(A10)&lt;=5,2,IF(MONTH(A10)&lt;=8,3,4))))</f>
        <v/>
      </c>
      <c r="I10">
        <f>IF(A10="","",MONTH(A10))</f>
        <v/>
      </c>
    </row>
    <row r="11">
      <c r="A11" s="15" t="n"/>
      <c r="B11" s="16" t="n"/>
      <c r="C11" s="16" t="n"/>
      <c r="D11" s="16" t="n"/>
      <c r="E11" s="18" t="n"/>
      <c r="F11" s="16" t="n"/>
      <c r="G11">
        <f>IF(A11="","",YEAR(A11))</f>
        <v/>
      </c>
      <c r="H11">
        <f>IF(A11="","",IF(MONTH(A11)&lt;=3,1,IF(MONTH(A11)&lt;=5,2,IF(MONTH(A11)&lt;=8,3,4))))</f>
        <v/>
      </c>
      <c r="I11">
        <f>IF(A11="","",MONTH(A11))</f>
        <v/>
      </c>
    </row>
    <row r="12">
      <c r="A12" s="15" t="n"/>
      <c r="B12" s="16" t="n"/>
      <c r="C12" s="16" t="n"/>
      <c r="D12" s="16" t="n"/>
      <c r="E12" s="18" t="n"/>
      <c r="F12" s="16" t="n"/>
      <c r="G12">
        <f>IF(A12="","",YEAR(A12))</f>
        <v/>
      </c>
      <c r="H12">
        <f>IF(A12="","",IF(MONTH(A12)&lt;=3,1,IF(MONTH(A12)&lt;=5,2,IF(MONTH(A12)&lt;=8,3,4))))</f>
        <v/>
      </c>
      <c r="I12">
        <f>IF(A12="","",MONTH(A12))</f>
        <v/>
      </c>
    </row>
    <row r="13">
      <c r="A13" s="15" t="n"/>
      <c r="B13" s="16" t="n"/>
      <c r="C13" s="16" t="n"/>
      <c r="D13" s="16" t="n"/>
      <c r="E13" s="18" t="n"/>
      <c r="F13" s="16" t="n"/>
      <c r="G13">
        <f>IF(A13="","",YEAR(A13))</f>
        <v/>
      </c>
      <c r="H13">
        <f>IF(A13="","",IF(MONTH(A13)&lt;=3,1,IF(MONTH(A13)&lt;=5,2,IF(MONTH(A13)&lt;=8,3,4))))</f>
        <v/>
      </c>
      <c r="I13">
        <f>IF(A13="","",MONTH(A13))</f>
        <v/>
      </c>
    </row>
    <row r="14">
      <c r="A14" s="15" t="n"/>
      <c r="B14" s="16" t="n"/>
      <c r="C14" s="16" t="n"/>
      <c r="D14" s="16" t="n"/>
      <c r="E14" s="18" t="n"/>
      <c r="F14" s="16" t="n"/>
      <c r="G14">
        <f>IF(A14="","",YEAR(A14))</f>
        <v/>
      </c>
      <c r="H14">
        <f>IF(A14="","",IF(MONTH(A14)&lt;=3,1,IF(MONTH(A14)&lt;=5,2,IF(MONTH(A14)&lt;=8,3,4))))</f>
        <v/>
      </c>
      <c r="I14">
        <f>IF(A14="","",MONTH(A14))</f>
        <v/>
      </c>
    </row>
    <row r="15">
      <c r="A15" s="15" t="n"/>
      <c r="B15" s="16" t="n"/>
      <c r="C15" s="16" t="n"/>
      <c r="D15" s="16" t="n"/>
      <c r="E15" s="18" t="n"/>
      <c r="F15" s="16" t="n"/>
      <c r="G15">
        <f>IF(A15="","",YEAR(A15))</f>
        <v/>
      </c>
      <c r="H15">
        <f>IF(A15="","",IF(MONTH(A15)&lt;=3,1,IF(MONTH(A15)&lt;=5,2,IF(MONTH(A15)&lt;=8,3,4))))</f>
        <v/>
      </c>
      <c r="I15">
        <f>IF(A15="","",MONTH(A15))</f>
        <v/>
      </c>
    </row>
    <row r="16">
      <c r="A16" s="15" t="n"/>
      <c r="B16" s="16" t="n"/>
      <c r="C16" s="16" t="n"/>
      <c r="D16" s="16" t="n"/>
      <c r="E16" s="18" t="n"/>
      <c r="F16" s="16" t="n"/>
      <c r="G16">
        <f>IF(A16="","",YEAR(A16))</f>
        <v/>
      </c>
      <c r="H16">
        <f>IF(A16="","",IF(MONTH(A16)&lt;=3,1,IF(MONTH(A16)&lt;=5,2,IF(MONTH(A16)&lt;=8,3,4))))</f>
        <v/>
      </c>
      <c r="I16">
        <f>IF(A16="","",MONTH(A16))</f>
        <v/>
      </c>
    </row>
    <row r="17">
      <c r="A17" s="15" t="n"/>
      <c r="B17" s="16" t="n"/>
      <c r="C17" s="16" t="n"/>
      <c r="D17" s="16" t="n"/>
      <c r="E17" s="18" t="n"/>
      <c r="F17" s="16" t="n"/>
      <c r="G17">
        <f>IF(A17="","",YEAR(A17))</f>
        <v/>
      </c>
      <c r="H17">
        <f>IF(A17="","",IF(MONTH(A17)&lt;=3,1,IF(MONTH(A17)&lt;=5,2,IF(MONTH(A17)&lt;=8,3,4))))</f>
        <v/>
      </c>
      <c r="I17">
        <f>IF(A17="","",MONTH(A17))</f>
        <v/>
      </c>
    </row>
    <row r="18">
      <c r="A18" s="15" t="n"/>
      <c r="B18" s="16" t="n"/>
      <c r="C18" s="16" t="n"/>
      <c r="D18" s="16" t="n"/>
      <c r="E18" s="18" t="n"/>
      <c r="F18" s="16" t="n"/>
      <c r="G18">
        <f>IF(A18="","",YEAR(A18))</f>
        <v/>
      </c>
      <c r="H18">
        <f>IF(A18="","",IF(MONTH(A18)&lt;=3,1,IF(MONTH(A18)&lt;=5,2,IF(MONTH(A18)&lt;=8,3,4))))</f>
        <v/>
      </c>
      <c r="I18">
        <f>IF(A18="","",MONTH(A18))</f>
        <v/>
      </c>
    </row>
    <row r="19">
      <c r="A19" s="15" t="n"/>
      <c r="B19" s="16" t="n"/>
      <c r="C19" s="16" t="n"/>
      <c r="D19" s="16" t="n"/>
      <c r="E19" s="18" t="n"/>
      <c r="F19" s="16" t="n"/>
      <c r="G19">
        <f>IF(A19="","",YEAR(A19))</f>
        <v/>
      </c>
      <c r="H19">
        <f>IF(A19="","",IF(MONTH(A19)&lt;=3,1,IF(MONTH(A19)&lt;=5,2,IF(MONTH(A19)&lt;=8,3,4))))</f>
        <v/>
      </c>
      <c r="I19">
        <f>IF(A19="","",MONTH(A19))</f>
        <v/>
      </c>
    </row>
    <row r="20">
      <c r="A20" s="15" t="n"/>
      <c r="B20" s="16" t="n"/>
      <c r="C20" s="16" t="n"/>
      <c r="D20" s="16" t="n"/>
      <c r="E20" s="18" t="n"/>
      <c r="F20" s="16" t="n"/>
      <c r="G20">
        <f>IF(A20="","",YEAR(A20))</f>
        <v/>
      </c>
      <c r="H20">
        <f>IF(A20="","",IF(MONTH(A20)&lt;=3,1,IF(MONTH(A20)&lt;=5,2,IF(MONTH(A20)&lt;=8,3,4))))</f>
        <v/>
      </c>
      <c r="I20">
        <f>IF(A20="","",MONTH(A20))</f>
        <v/>
      </c>
    </row>
    <row r="21">
      <c r="A21" s="15" t="n"/>
      <c r="B21" s="16" t="n"/>
      <c r="C21" s="16" t="n"/>
      <c r="D21" s="16" t="n"/>
      <c r="E21" s="18" t="n"/>
      <c r="F21" s="16" t="n"/>
      <c r="G21">
        <f>IF(A21="","",YEAR(A21))</f>
        <v/>
      </c>
      <c r="H21">
        <f>IF(A21="","",IF(MONTH(A21)&lt;=3,1,IF(MONTH(A21)&lt;=5,2,IF(MONTH(A21)&lt;=8,3,4))))</f>
        <v/>
      </c>
      <c r="I21">
        <f>IF(A21="","",MONTH(A21))</f>
        <v/>
      </c>
    </row>
    <row r="22">
      <c r="A22" s="15" t="n"/>
      <c r="B22" s="16" t="n"/>
      <c r="C22" s="16" t="n"/>
      <c r="D22" s="16" t="n"/>
      <c r="E22" s="18" t="n"/>
      <c r="F22" s="16" t="n"/>
      <c r="G22">
        <f>IF(A22="","",YEAR(A22))</f>
        <v/>
      </c>
      <c r="H22">
        <f>IF(A22="","",IF(MONTH(A22)&lt;=3,1,IF(MONTH(A22)&lt;=5,2,IF(MONTH(A22)&lt;=8,3,4))))</f>
        <v/>
      </c>
      <c r="I22">
        <f>IF(A22="","",MONTH(A22))</f>
        <v/>
      </c>
    </row>
    <row r="23">
      <c r="A23" s="15" t="n"/>
      <c r="B23" s="16" t="n"/>
      <c r="C23" s="16" t="n"/>
      <c r="D23" s="16" t="n"/>
      <c r="E23" s="18" t="n"/>
      <c r="F23" s="16" t="n"/>
      <c r="G23">
        <f>IF(A23="","",YEAR(A23))</f>
        <v/>
      </c>
      <c r="H23">
        <f>IF(A23="","",IF(MONTH(A23)&lt;=3,1,IF(MONTH(A23)&lt;=5,2,IF(MONTH(A23)&lt;=8,3,4))))</f>
        <v/>
      </c>
      <c r="I23">
        <f>IF(A23="","",MONTH(A23))</f>
        <v/>
      </c>
    </row>
    <row r="24">
      <c r="A24" s="15" t="n"/>
      <c r="B24" s="16" t="n"/>
      <c r="C24" s="16" t="n"/>
      <c r="D24" s="16" t="n"/>
      <c r="E24" s="18" t="n"/>
      <c r="F24" s="16" t="n"/>
      <c r="G24">
        <f>IF(A24="","",YEAR(A24))</f>
        <v/>
      </c>
      <c r="H24">
        <f>IF(A24="","",IF(MONTH(A24)&lt;=3,1,IF(MONTH(A24)&lt;=5,2,IF(MONTH(A24)&lt;=8,3,4))))</f>
        <v/>
      </c>
      <c r="I24">
        <f>IF(A24="","",MONTH(A24))</f>
        <v/>
      </c>
    </row>
    <row r="25">
      <c r="A25" s="15" t="n"/>
      <c r="B25" s="16" t="n"/>
      <c r="C25" s="16" t="n"/>
      <c r="D25" s="16" t="n"/>
      <c r="E25" s="18" t="n"/>
      <c r="F25" s="16" t="n"/>
      <c r="G25">
        <f>IF(A25="","",YEAR(A25))</f>
        <v/>
      </c>
      <c r="H25">
        <f>IF(A25="","",IF(MONTH(A25)&lt;=3,1,IF(MONTH(A25)&lt;=5,2,IF(MONTH(A25)&lt;=8,3,4))))</f>
        <v/>
      </c>
      <c r="I25">
        <f>IF(A25="","",MONTH(A25))</f>
        <v/>
      </c>
    </row>
    <row r="26">
      <c r="A26" s="15" t="n"/>
      <c r="B26" s="16" t="n"/>
      <c r="C26" s="16" t="n"/>
      <c r="D26" s="16" t="n"/>
      <c r="E26" s="18" t="n"/>
      <c r="F26" s="16" t="n"/>
      <c r="G26">
        <f>IF(A26="","",YEAR(A26))</f>
        <v/>
      </c>
      <c r="H26">
        <f>IF(A26="","",IF(MONTH(A26)&lt;=3,1,IF(MONTH(A26)&lt;=5,2,IF(MONTH(A26)&lt;=8,3,4))))</f>
        <v/>
      </c>
      <c r="I26">
        <f>IF(A26="","",MONTH(A26))</f>
        <v/>
      </c>
    </row>
    <row r="27">
      <c r="A27" s="15" t="n"/>
      <c r="B27" s="16" t="n"/>
      <c r="C27" s="16" t="n"/>
      <c r="D27" s="16" t="n"/>
      <c r="E27" s="18" t="n"/>
      <c r="F27" s="16" t="n"/>
      <c r="G27">
        <f>IF(A27="","",YEAR(A27))</f>
        <v/>
      </c>
      <c r="H27">
        <f>IF(A27="","",IF(MONTH(A27)&lt;=3,1,IF(MONTH(A27)&lt;=5,2,IF(MONTH(A27)&lt;=8,3,4))))</f>
        <v/>
      </c>
      <c r="I27">
        <f>IF(A27="","",MONTH(A27))</f>
        <v/>
      </c>
    </row>
    <row r="28">
      <c r="A28" s="15" t="n"/>
      <c r="B28" s="16" t="n"/>
      <c r="C28" s="16" t="n"/>
      <c r="D28" s="16" t="n"/>
      <c r="E28" s="18" t="n"/>
      <c r="F28" s="16" t="n"/>
      <c r="G28">
        <f>IF(A28="","",YEAR(A28))</f>
        <v/>
      </c>
      <c r="H28">
        <f>IF(A28="","",IF(MONTH(A28)&lt;=3,1,IF(MONTH(A28)&lt;=5,2,IF(MONTH(A28)&lt;=8,3,4))))</f>
        <v/>
      </c>
      <c r="I28">
        <f>IF(A28="","",MONTH(A28))</f>
        <v/>
      </c>
    </row>
    <row r="29">
      <c r="A29" s="15" t="n"/>
      <c r="B29" s="16" t="n"/>
      <c r="C29" s="16" t="n"/>
      <c r="D29" s="16" t="n"/>
      <c r="E29" s="18" t="n"/>
      <c r="F29" s="16" t="n"/>
      <c r="G29">
        <f>IF(A29="","",YEAR(A29))</f>
        <v/>
      </c>
      <c r="H29">
        <f>IF(A29="","",IF(MONTH(A29)&lt;=3,1,IF(MONTH(A29)&lt;=5,2,IF(MONTH(A29)&lt;=8,3,4))))</f>
        <v/>
      </c>
      <c r="I29">
        <f>IF(A29="","",MONTH(A29))</f>
        <v/>
      </c>
    </row>
    <row r="30">
      <c r="A30" s="15" t="n"/>
      <c r="B30" s="16" t="n"/>
      <c r="C30" s="16" t="n"/>
      <c r="D30" s="16" t="n"/>
      <c r="E30" s="18" t="n"/>
      <c r="F30" s="16" t="n"/>
      <c r="G30">
        <f>IF(A30="","",YEAR(A30))</f>
        <v/>
      </c>
      <c r="H30">
        <f>IF(A30="","",IF(MONTH(A30)&lt;=3,1,IF(MONTH(A30)&lt;=5,2,IF(MONTH(A30)&lt;=8,3,4))))</f>
        <v/>
      </c>
      <c r="I30">
        <f>IF(A30="","",MONTH(A30))</f>
        <v/>
      </c>
    </row>
    <row r="31">
      <c r="A31" s="15" t="n"/>
      <c r="B31" s="16" t="n"/>
      <c r="C31" s="16" t="n"/>
      <c r="D31" s="16" t="n"/>
      <c r="E31" s="18" t="n"/>
      <c r="F31" s="16" t="n"/>
      <c r="G31">
        <f>IF(A31="","",YEAR(A31))</f>
        <v/>
      </c>
      <c r="H31">
        <f>IF(A31="","",IF(MONTH(A31)&lt;=3,1,IF(MONTH(A31)&lt;=5,2,IF(MONTH(A31)&lt;=8,3,4))))</f>
        <v/>
      </c>
      <c r="I31">
        <f>IF(A31="","",MONTH(A31))</f>
        <v/>
      </c>
    </row>
    <row r="32">
      <c r="A32" s="15" t="n"/>
      <c r="B32" s="16" t="n"/>
      <c r="C32" s="16" t="n"/>
      <c r="D32" s="16" t="n"/>
      <c r="E32" s="18" t="n"/>
      <c r="F32" s="16" t="n"/>
      <c r="G32">
        <f>IF(A32="","",YEAR(A32))</f>
        <v/>
      </c>
      <c r="H32">
        <f>IF(A32="","",IF(MONTH(A32)&lt;=3,1,IF(MONTH(A32)&lt;=5,2,IF(MONTH(A32)&lt;=8,3,4))))</f>
        <v/>
      </c>
      <c r="I32">
        <f>IF(A32="","",MONTH(A32))</f>
        <v/>
      </c>
    </row>
    <row r="33">
      <c r="A33" s="15" t="n"/>
      <c r="B33" s="16" t="n"/>
      <c r="C33" s="16" t="n"/>
      <c r="D33" s="16" t="n"/>
      <c r="E33" s="18" t="n"/>
      <c r="F33" s="16" t="n"/>
      <c r="G33">
        <f>IF(A33="","",YEAR(A33))</f>
        <v/>
      </c>
      <c r="H33">
        <f>IF(A33="","",IF(MONTH(A33)&lt;=3,1,IF(MONTH(A33)&lt;=5,2,IF(MONTH(A33)&lt;=8,3,4))))</f>
        <v/>
      </c>
      <c r="I33">
        <f>IF(A33="","",MONTH(A33))</f>
        <v/>
      </c>
    </row>
    <row r="34">
      <c r="A34" s="15" t="n"/>
      <c r="B34" s="16" t="n"/>
      <c r="C34" s="16" t="n"/>
      <c r="D34" s="16" t="n"/>
      <c r="E34" s="18" t="n"/>
      <c r="F34" s="16" t="n"/>
      <c r="G34">
        <f>IF(A34="","",YEAR(A34))</f>
        <v/>
      </c>
      <c r="H34">
        <f>IF(A34="","",IF(MONTH(A34)&lt;=3,1,IF(MONTH(A34)&lt;=5,2,IF(MONTH(A34)&lt;=8,3,4))))</f>
        <v/>
      </c>
      <c r="I34">
        <f>IF(A34="","",MONTH(A34))</f>
        <v/>
      </c>
    </row>
    <row r="35">
      <c r="A35" s="15" t="n"/>
      <c r="B35" s="16" t="n"/>
      <c r="C35" s="16" t="n"/>
      <c r="D35" s="16" t="n"/>
      <c r="E35" s="18" t="n"/>
      <c r="F35" s="16" t="n"/>
      <c r="G35">
        <f>IF(A35="","",YEAR(A35))</f>
        <v/>
      </c>
      <c r="H35">
        <f>IF(A35="","",IF(MONTH(A35)&lt;=3,1,IF(MONTH(A35)&lt;=5,2,IF(MONTH(A35)&lt;=8,3,4))))</f>
        <v/>
      </c>
      <c r="I35">
        <f>IF(A35="","",MONTH(A35))</f>
        <v/>
      </c>
    </row>
    <row r="36">
      <c r="A36" s="15" t="n"/>
      <c r="B36" s="16" t="n"/>
      <c r="C36" s="16" t="n"/>
      <c r="D36" s="16" t="n"/>
      <c r="E36" s="18" t="n"/>
      <c r="F36" s="16" t="n"/>
      <c r="G36">
        <f>IF(A36="","",YEAR(A36))</f>
        <v/>
      </c>
      <c r="H36">
        <f>IF(A36="","",IF(MONTH(A36)&lt;=3,1,IF(MONTH(A36)&lt;=5,2,IF(MONTH(A36)&lt;=8,3,4))))</f>
        <v/>
      </c>
      <c r="I36">
        <f>IF(A36="","",MONTH(A36))</f>
        <v/>
      </c>
    </row>
    <row r="37">
      <c r="A37" s="15" t="n"/>
      <c r="B37" s="16" t="n"/>
      <c r="C37" s="16" t="n"/>
      <c r="D37" s="16" t="n"/>
      <c r="E37" s="18" t="n"/>
      <c r="F37" s="16" t="n"/>
      <c r="G37">
        <f>IF(A37="","",YEAR(A37))</f>
        <v/>
      </c>
      <c r="H37">
        <f>IF(A37="","",IF(MONTH(A37)&lt;=3,1,IF(MONTH(A37)&lt;=5,2,IF(MONTH(A37)&lt;=8,3,4))))</f>
        <v/>
      </c>
      <c r="I37">
        <f>IF(A37="","",MONTH(A37))</f>
        <v/>
      </c>
    </row>
    <row r="38">
      <c r="A38" s="15" t="n"/>
      <c r="B38" s="16" t="n"/>
      <c r="C38" s="16" t="n"/>
      <c r="D38" s="16" t="n"/>
      <c r="E38" s="18" t="n"/>
      <c r="F38" s="16" t="n"/>
      <c r="G38">
        <f>IF(A38="","",YEAR(A38))</f>
        <v/>
      </c>
      <c r="H38">
        <f>IF(A38="","",IF(MONTH(A38)&lt;=3,1,IF(MONTH(A38)&lt;=5,2,IF(MONTH(A38)&lt;=8,3,4))))</f>
        <v/>
      </c>
      <c r="I38">
        <f>IF(A38="","",MONTH(A38))</f>
        <v/>
      </c>
    </row>
    <row r="39">
      <c r="A39" s="15" t="n"/>
      <c r="B39" s="16" t="n"/>
      <c r="C39" s="16" t="n"/>
      <c r="D39" s="16" t="n"/>
      <c r="E39" s="18" t="n"/>
      <c r="F39" s="16" t="n"/>
      <c r="G39">
        <f>IF(A39="","",YEAR(A39))</f>
        <v/>
      </c>
      <c r="H39">
        <f>IF(A39="","",IF(MONTH(A39)&lt;=3,1,IF(MONTH(A39)&lt;=5,2,IF(MONTH(A39)&lt;=8,3,4))))</f>
        <v/>
      </c>
      <c r="I39">
        <f>IF(A39="","",MONTH(A39))</f>
        <v/>
      </c>
    </row>
    <row r="40">
      <c r="A40" s="15" t="n"/>
      <c r="B40" s="16" t="n"/>
      <c r="C40" s="16" t="n"/>
      <c r="D40" s="16" t="n"/>
      <c r="E40" s="18" t="n"/>
      <c r="F40" s="16" t="n"/>
      <c r="G40">
        <f>IF(A40="","",YEAR(A40))</f>
        <v/>
      </c>
      <c r="H40">
        <f>IF(A40="","",IF(MONTH(A40)&lt;=3,1,IF(MONTH(A40)&lt;=5,2,IF(MONTH(A40)&lt;=8,3,4))))</f>
        <v/>
      </c>
      <c r="I40">
        <f>IF(A40="","",MONTH(A40))</f>
        <v/>
      </c>
    </row>
    <row r="41">
      <c r="A41" s="15" t="n"/>
      <c r="B41" s="16" t="n"/>
      <c r="C41" s="16" t="n"/>
      <c r="D41" s="16" t="n"/>
      <c r="E41" s="18" t="n"/>
      <c r="F41" s="16" t="n"/>
      <c r="G41">
        <f>IF(A41="","",YEAR(A41))</f>
        <v/>
      </c>
      <c r="H41">
        <f>IF(A41="","",IF(MONTH(A41)&lt;=3,1,IF(MONTH(A41)&lt;=5,2,IF(MONTH(A41)&lt;=8,3,4))))</f>
        <v/>
      </c>
      <c r="I41">
        <f>IF(A41="","",MONTH(A41))</f>
        <v/>
      </c>
    </row>
    <row r="42">
      <c r="A42" s="15" t="n"/>
      <c r="B42" s="16" t="n"/>
      <c r="C42" s="16" t="n"/>
      <c r="D42" s="16" t="n"/>
      <c r="E42" s="18" t="n"/>
      <c r="F42" s="16" t="n"/>
      <c r="G42">
        <f>IF(A42="","",YEAR(A42))</f>
        <v/>
      </c>
      <c r="H42">
        <f>IF(A42="","",IF(MONTH(A42)&lt;=3,1,IF(MONTH(A42)&lt;=5,2,IF(MONTH(A42)&lt;=8,3,4))))</f>
        <v/>
      </c>
      <c r="I42">
        <f>IF(A42="","",MONTH(A42))</f>
        <v/>
      </c>
    </row>
    <row r="43">
      <c r="A43" s="15" t="n"/>
      <c r="B43" s="16" t="n"/>
      <c r="C43" s="16" t="n"/>
      <c r="D43" s="16" t="n"/>
      <c r="E43" s="18" t="n"/>
      <c r="F43" s="16" t="n"/>
      <c r="G43">
        <f>IF(A43="","",YEAR(A43))</f>
        <v/>
      </c>
      <c r="H43">
        <f>IF(A43="","",IF(MONTH(A43)&lt;=3,1,IF(MONTH(A43)&lt;=5,2,IF(MONTH(A43)&lt;=8,3,4))))</f>
        <v/>
      </c>
      <c r="I43">
        <f>IF(A43="","",MONTH(A43))</f>
        <v/>
      </c>
    </row>
    <row r="44">
      <c r="A44" s="15" t="n"/>
      <c r="B44" s="16" t="n"/>
      <c r="C44" s="16" t="n"/>
      <c r="D44" s="16" t="n"/>
      <c r="E44" s="18" t="n"/>
      <c r="F44" s="16" t="n"/>
      <c r="G44">
        <f>IF(A44="","",YEAR(A44))</f>
        <v/>
      </c>
      <c r="H44">
        <f>IF(A44="","",IF(MONTH(A44)&lt;=3,1,IF(MONTH(A44)&lt;=5,2,IF(MONTH(A44)&lt;=8,3,4))))</f>
        <v/>
      </c>
      <c r="I44">
        <f>IF(A44="","",MONTH(A44))</f>
        <v/>
      </c>
    </row>
    <row r="45">
      <c r="A45" s="15" t="n"/>
      <c r="B45" s="16" t="n"/>
      <c r="C45" s="16" t="n"/>
      <c r="D45" s="16" t="n"/>
      <c r="E45" s="18" t="n"/>
      <c r="F45" s="16" t="n"/>
      <c r="G45">
        <f>IF(A45="","",YEAR(A45))</f>
        <v/>
      </c>
      <c r="H45">
        <f>IF(A45="","",IF(MONTH(A45)&lt;=3,1,IF(MONTH(A45)&lt;=5,2,IF(MONTH(A45)&lt;=8,3,4))))</f>
        <v/>
      </c>
      <c r="I45">
        <f>IF(A45="","",MONTH(A45))</f>
        <v/>
      </c>
    </row>
    <row r="46">
      <c r="A46" s="15" t="n"/>
      <c r="B46" s="16" t="n"/>
      <c r="C46" s="16" t="n"/>
      <c r="D46" s="16" t="n"/>
      <c r="E46" s="18" t="n"/>
      <c r="F46" s="16" t="n"/>
      <c r="G46">
        <f>IF(A46="","",YEAR(A46))</f>
        <v/>
      </c>
      <c r="H46">
        <f>IF(A46="","",IF(MONTH(A46)&lt;=3,1,IF(MONTH(A46)&lt;=5,2,IF(MONTH(A46)&lt;=8,3,4))))</f>
        <v/>
      </c>
      <c r="I46">
        <f>IF(A46="","",MONTH(A46))</f>
        <v/>
      </c>
    </row>
    <row r="47">
      <c r="A47" s="15" t="n"/>
      <c r="B47" s="16" t="n"/>
      <c r="C47" s="16" t="n"/>
      <c r="D47" s="16" t="n"/>
      <c r="E47" s="18" t="n"/>
      <c r="F47" s="16" t="n"/>
      <c r="G47">
        <f>IF(A47="","",YEAR(A47))</f>
        <v/>
      </c>
      <c r="H47">
        <f>IF(A47="","",IF(MONTH(A47)&lt;=3,1,IF(MONTH(A47)&lt;=5,2,IF(MONTH(A47)&lt;=8,3,4))))</f>
        <v/>
      </c>
      <c r="I47">
        <f>IF(A47="","",MONTH(A47))</f>
        <v/>
      </c>
    </row>
    <row r="48">
      <c r="A48" s="15" t="n"/>
      <c r="B48" s="16" t="n"/>
      <c r="C48" s="16" t="n"/>
      <c r="D48" s="16" t="n"/>
      <c r="E48" s="18" t="n"/>
      <c r="F48" s="16" t="n"/>
      <c r="G48">
        <f>IF(A48="","",YEAR(A48))</f>
        <v/>
      </c>
      <c r="H48">
        <f>IF(A48="","",IF(MONTH(A48)&lt;=3,1,IF(MONTH(A48)&lt;=5,2,IF(MONTH(A48)&lt;=8,3,4))))</f>
        <v/>
      </c>
      <c r="I48">
        <f>IF(A48="","",MONTH(A48))</f>
        <v/>
      </c>
    </row>
    <row r="49">
      <c r="A49" s="15" t="n"/>
      <c r="B49" s="16" t="n"/>
      <c r="C49" s="16" t="n"/>
      <c r="D49" s="16" t="n"/>
      <c r="E49" s="18" t="n"/>
      <c r="F49" s="16" t="n"/>
      <c r="G49">
        <f>IF(A49="","",YEAR(A49))</f>
        <v/>
      </c>
      <c r="H49">
        <f>IF(A49="","",IF(MONTH(A49)&lt;=3,1,IF(MONTH(A49)&lt;=5,2,IF(MONTH(A49)&lt;=8,3,4))))</f>
        <v/>
      </c>
      <c r="I49">
        <f>IF(A49="","",MONTH(A49))</f>
        <v/>
      </c>
    </row>
    <row r="50">
      <c r="A50" s="15" t="n"/>
      <c r="B50" s="16" t="n"/>
      <c r="C50" s="16" t="n"/>
      <c r="D50" s="16" t="n"/>
      <c r="E50" s="18" t="n"/>
      <c r="F50" s="16" t="n"/>
      <c r="G50">
        <f>IF(A50="","",YEAR(A50))</f>
        <v/>
      </c>
      <c r="H50">
        <f>IF(A50="","",IF(MONTH(A50)&lt;=3,1,IF(MONTH(A50)&lt;=5,2,IF(MONTH(A50)&lt;=8,3,4))))</f>
        <v/>
      </c>
      <c r="I50">
        <f>IF(A50="","",MONTH(A50))</f>
        <v/>
      </c>
    </row>
    <row r="51">
      <c r="A51" s="15" t="n"/>
      <c r="B51" s="16" t="n"/>
      <c r="C51" s="16" t="n"/>
      <c r="D51" s="16" t="n"/>
      <c r="E51" s="18" t="n"/>
      <c r="F51" s="16" t="n"/>
      <c r="G51">
        <f>IF(A51="","",YEAR(A51))</f>
        <v/>
      </c>
      <c r="H51">
        <f>IF(A51="","",IF(MONTH(A51)&lt;=3,1,IF(MONTH(A51)&lt;=5,2,IF(MONTH(A51)&lt;=8,3,4))))</f>
        <v/>
      </c>
      <c r="I51">
        <f>IF(A51="","",MONTH(A51))</f>
        <v/>
      </c>
    </row>
    <row r="52">
      <c r="A52" s="15" t="n"/>
      <c r="B52" s="16" t="n"/>
      <c r="C52" s="16" t="n"/>
      <c r="D52" s="16" t="n"/>
      <c r="E52" s="18" t="n"/>
      <c r="F52" s="16" t="n"/>
      <c r="G52">
        <f>IF(A52="","",YEAR(A52))</f>
        <v/>
      </c>
      <c r="H52">
        <f>IF(A52="","",IF(MONTH(A52)&lt;=3,1,IF(MONTH(A52)&lt;=5,2,IF(MONTH(A52)&lt;=8,3,4))))</f>
        <v/>
      </c>
      <c r="I52">
        <f>IF(A52="","",MONTH(A52))</f>
        <v/>
      </c>
    </row>
    <row r="53">
      <c r="A53" s="15" t="n"/>
      <c r="B53" s="16" t="n"/>
      <c r="C53" s="16" t="n"/>
      <c r="D53" s="16" t="n"/>
      <c r="E53" s="18" t="n"/>
      <c r="F53" s="16" t="n"/>
      <c r="G53">
        <f>IF(A53="","",YEAR(A53))</f>
        <v/>
      </c>
      <c r="H53">
        <f>IF(A53="","",IF(MONTH(A53)&lt;=3,1,IF(MONTH(A53)&lt;=5,2,IF(MONTH(A53)&lt;=8,3,4))))</f>
        <v/>
      </c>
      <c r="I53">
        <f>IF(A53="","",MONTH(A53))</f>
        <v/>
      </c>
    </row>
    <row r="54">
      <c r="A54" s="15" t="n"/>
      <c r="B54" s="16" t="n"/>
      <c r="C54" s="16" t="n"/>
      <c r="D54" s="16" t="n"/>
      <c r="E54" s="18" t="n"/>
      <c r="F54" s="16" t="n"/>
      <c r="G54">
        <f>IF(A54="","",YEAR(A54))</f>
        <v/>
      </c>
      <c r="H54">
        <f>IF(A54="","",IF(MONTH(A54)&lt;=3,1,IF(MONTH(A54)&lt;=5,2,IF(MONTH(A54)&lt;=8,3,4))))</f>
        <v/>
      </c>
      <c r="I54">
        <f>IF(A54="","",MONTH(A54))</f>
        <v/>
      </c>
    </row>
    <row r="55">
      <c r="A55" s="15" t="n"/>
      <c r="B55" s="16" t="n"/>
      <c r="C55" s="16" t="n"/>
      <c r="D55" s="16" t="n"/>
      <c r="E55" s="18" t="n"/>
      <c r="F55" s="16" t="n"/>
      <c r="G55">
        <f>IF(A55="","",YEAR(A55))</f>
        <v/>
      </c>
      <c r="H55">
        <f>IF(A55="","",IF(MONTH(A55)&lt;=3,1,IF(MONTH(A55)&lt;=5,2,IF(MONTH(A55)&lt;=8,3,4))))</f>
        <v/>
      </c>
      <c r="I55">
        <f>IF(A55="","",MONTH(A55))</f>
        <v/>
      </c>
    </row>
    <row r="56">
      <c r="A56" s="15" t="n"/>
      <c r="B56" s="16" t="n"/>
      <c r="C56" s="16" t="n"/>
      <c r="D56" s="16" t="n"/>
      <c r="E56" s="18" t="n"/>
      <c r="F56" s="16" t="n"/>
      <c r="G56">
        <f>IF(A56="","",YEAR(A56))</f>
        <v/>
      </c>
      <c r="H56">
        <f>IF(A56="","",IF(MONTH(A56)&lt;=3,1,IF(MONTH(A56)&lt;=5,2,IF(MONTH(A56)&lt;=8,3,4))))</f>
        <v/>
      </c>
      <c r="I56">
        <f>IF(A56="","",MONTH(A56))</f>
        <v/>
      </c>
    </row>
    <row r="57">
      <c r="A57" s="15" t="n"/>
      <c r="B57" s="16" t="n"/>
      <c r="C57" s="16" t="n"/>
      <c r="D57" s="16" t="n"/>
      <c r="E57" s="18" t="n"/>
      <c r="F57" s="16" t="n"/>
      <c r="G57">
        <f>IF(A57="","",YEAR(A57))</f>
        <v/>
      </c>
      <c r="H57">
        <f>IF(A57="","",IF(MONTH(A57)&lt;=3,1,IF(MONTH(A57)&lt;=5,2,IF(MONTH(A57)&lt;=8,3,4))))</f>
        <v/>
      </c>
      <c r="I57">
        <f>IF(A57="","",MONTH(A57))</f>
        <v/>
      </c>
    </row>
    <row r="58">
      <c r="A58" s="15" t="n"/>
      <c r="B58" s="16" t="n"/>
      <c r="C58" s="16" t="n"/>
      <c r="D58" s="16" t="n"/>
      <c r="E58" s="18" t="n"/>
      <c r="F58" s="16" t="n"/>
      <c r="G58">
        <f>IF(A58="","",YEAR(A58))</f>
        <v/>
      </c>
      <c r="H58">
        <f>IF(A58="","",IF(MONTH(A58)&lt;=3,1,IF(MONTH(A58)&lt;=5,2,IF(MONTH(A58)&lt;=8,3,4))))</f>
        <v/>
      </c>
      <c r="I58">
        <f>IF(A58="","",MONTH(A58))</f>
        <v/>
      </c>
    </row>
    <row r="59">
      <c r="A59" s="15" t="n"/>
      <c r="B59" s="16" t="n"/>
      <c r="C59" s="16" t="n"/>
      <c r="D59" s="16" t="n"/>
      <c r="E59" s="18" t="n"/>
      <c r="F59" s="16" t="n"/>
      <c r="G59">
        <f>IF(A59="","",YEAR(A59))</f>
        <v/>
      </c>
      <c r="H59">
        <f>IF(A59="","",IF(MONTH(A59)&lt;=3,1,IF(MONTH(A59)&lt;=5,2,IF(MONTH(A59)&lt;=8,3,4))))</f>
        <v/>
      </c>
      <c r="I59">
        <f>IF(A59="","",MONTH(A59))</f>
        <v/>
      </c>
    </row>
    <row r="60">
      <c r="A60" s="15" t="n"/>
      <c r="B60" s="16" t="n"/>
      <c r="C60" s="16" t="n"/>
      <c r="D60" s="16" t="n"/>
      <c r="E60" s="18" t="n"/>
      <c r="F60" s="16" t="n"/>
      <c r="G60">
        <f>IF(A60="","",YEAR(A60))</f>
        <v/>
      </c>
      <c r="H60">
        <f>IF(A60="","",IF(MONTH(A60)&lt;=3,1,IF(MONTH(A60)&lt;=5,2,IF(MONTH(A60)&lt;=8,3,4))))</f>
        <v/>
      </c>
      <c r="I60">
        <f>IF(A60="","",MONTH(A60))</f>
        <v/>
      </c>
    </row>
    <row r="61">
      <c r="A61" s="15" t="n"/>
      <c r="B61" s="16" t="n"/>
      <c r="C61" s="16" t="n"/>
      <c r="D61" s="16" t="n"/>
      <c r="E61" s="18" t="n"/>
      <c r="F61" s="16" t="n"/>
      <c r="G61">
        <f>IF(A61="","",YEAR(A61))</f>
        <v/>
      </c>
      <c r="H61">
        <f>IF(A61="","",IF(MONTH(A61)&lt;=3,1,IF(MONTH(A61)&lt;=5,2,IF(MONTH(A61)&lt;=8,3,4))))</f>
        <v/>
      </c>
      <c r="I61">
        <f>IF(A61="","",MONTH(A61))</f>
        <v/>
      </c>
    </row>
    <row r="62">
      <c r="A62" s="15" t="n"/>
      <c r="B62" s="16" t="n"/>
      <c r="C62" s="16" t="n"/>
      <c r="D62" s="16" t="n"/>
      <c r="E62" s="18" t="n"/>
      <c r="F62" s="16" t="n"/>
      <c r="G62">
        <f>IF(A62="","",YEAR(A62))</f>
        <v/>
      </c>
      <c r="H62">
        <f>IF(A62="","",IF(MONTH(A62)&lt;=3,1,IF(MONTH(A62)&lt;=5,2,IF(MONTH(A62)&lt;=8,3,4))))</f>
        <v/>
      </c>
      <c r="I62">
        <f>IF(A62="","",MONTH(A62))</f>
        <v/>
      </c>
    </row>
    <row r="63">
      <c r="A63" s="15" t="n"/>
      <c r="B63" s="16" t="n"/>
      <c r="C63" s="16" t="n"/>
      <c r="D63" s="16" t="n"/>
      <c r="E63" s="18" t="n"/>
      <c r="F63" s="16" t="n"/>
      <c r="G63">
        <f>IF(A63="","",YEAR(A63))</f>
        <v/>
      </c>
      <c r="H63">
        <f>IF(A63="","",IF(MONTH(A63)&lt;=3,1,IF(MONTH(A63)&lt;=5,2,IF(MONTH(A63)&lt;=8,3,4))))</f>
        <v/>
      </c>
      <c r="I63">
        <f>IF(A63="","",MONTH(A63))</f>
        <v/>
      </c>
    </row>
    <row r="64">
      <c r="A64" s="15" t="n"/>
      <c r="B64" s="16" t="n"/>
      <c r="C64" s="16" t="n"/>
      <c r="D64" s="16" t="n"/>
      <c r="E64" s="18" t="n"/>
      <c r="F64" s="16" t="n"/>
      <c r="G64">
        <f>IF(A64="","",YEAR(A64))</f>
        <v/>
      </c>
      <c r="H64">
        <f>IF(A64="","",IF(MONTH(A64)&lt;=3,1,IF(MONTH(A64)&lt;=5,2,IF(MONTH(A64)&lt;=8,3,4))))</f>
        <v/>
      </c>
      <c r="I64">
        <f>IF(A64="","",MONTH(A64))</f>
        <v/>
      </c>
    </row>
    <row r="65">
      <c r="A65" s="15" t="n"/>
      <c r="B65" s="16" t="n"/>
      <c r="C65" s="16" t="n"/>
      <c r="D65" s="16" t="n"/>
      <c r="E65" s="18" t="n"/>
      <c r="F65" s="16" t="n"/>
      <c r="G65">
        <f>IF(A65="","",YEAR(A65))</f>
        <v/>
      </c>
      <c r="H65">
        <f>IF(A65="","",IF(MONTH(A65)&lt;=3,1,IF(MONTH(A65)&lt;=5,2,IF(MONTH(A65)&lt;=8,3,4))))</f>
        <v/>
      </c>
      <c r="I65">
        <f>IF(A65="","",MONTH(A65))</f>
        <v/>
      </c>
    </row>
    <row r="66">
      <c r="A66" s="15" t="n"/>
      <c r="B66" s="16" t="n"/>
      <c r="C66" s="16" t="n"/>
      <c r="D66" s="16" t="n"/>
      <c r="E66" s="18" t="n"/>
      <c r="F66" s="16" t="n"/>
      <c r="G66">
        <f>IF(A66="","",YEAR(A66))</f>
        <v/>
      </c>
      <c r="H66">
        <f>IF(A66="","",IF(MONTH(A66)&lt;=3,1,IF(MONTH(A66)&lt;=5,2,IF(MONTH(A66)&lt;=8,3,4))))</f>
        <v/>
      </c>
      <c r="I66">
        <f>IF(A66="","",MONTH(A66))</f>
        <v/>
      </c>
    </row>
    <row r="67">
      <c r="A67" s="15" t="n"/>
      <c r="B67" s="16" t="n"/>
      <c r="C67" s="16" t="n"/>
      <c r="D67" s="16" t="n"/>
      <c r="E67" s="18" t="n"/>
      <c r="F67" s="16" t="n"/>
      <c r="G67">
        <f>IF(A67="","",YEAR(A67))</f>
        <v/>
      </c>
      <c r="H67">
        <f>IF(A67="","",IF(MONTH(A67)&lt;=3,1,IF(MONTH(A67)&lt;=5,2,IF(MONTH(A67)&lt;=8,3,4))))</f>
        <v/>
      </c>
      <c r="I67">
        <f>IF(A67="","",MONTH(A67))</f>
        <v/>
      </c>
    </row>
    <row r="68">
      <c r="A68" s="15" t="n"/>
      <c r="B68" s="16" t="n"/>
      <c r="C68" s="16" t="n"/>
      <c r="D68" s="16" t="n"/>
      <c r="E68" s="18" t="n"/>
      <c r="F68" s="16" t="n"/>
      <c r="G68">
        <f>IF(A68="","",YEAR(A68))</f>
        <v/>
      </c>
      <c r="H68">
        <f>IF(A68="","",IF(MONTH(A68)&lt;=3,1,IF(MONTH(A68)&lt;=5,2,IF(MONTH(A68)&lt;=8,3,4))))</f>
        <v/>
      </c>
      <c r="I68">
        <f>IF(A68="","",MONTH(A68))</f>
        <v/>
      </c>
    </row>
    <row r="69">
      <c r="A69" s="15" t="n"/>
      <c r="B69" s="16" t="n"/>
      <c r="C69" s="16" t="n"/>
      <c r="D69" s="16" t="n"/>
      <c r="E69" s="18" t="n"/>
      <c r="F69" s="16" t="n"/>
      <c r="G69">
        <f>IF(A69="","",YEAR(A69))</f>
        <v/>
      </c>
      <c r="H69">
        <f>IF(A69="","",IF(MONTH(A69)&lt;=3,1,IF(MONTH(A69)&lt;=5,2,IF(MONTH(A69)&lt;=8,3,4))))</f>
        <v/>
      </c>
      <c r="I69">
        <f>IF(A69="","",MONTH(A69))</f>
        <v/>
      </c>
    </row>
    <row r="70">
      <c r="A70" s="15" t="n"/>
      <c r="B70" s="16" t="n"/>
      <c r="C70" s="16" t="n"/>
      <c r="D70" s="16" t="n"/>
      <c r="E70" s="18" t="n"/>
      <c r="F70" s="16" t="n"/>
      <c r="G70">
        <f>IF(A70="","",YEAR(A70))</f>
        <v/>
      </c>
      <c r="H70">
        <f>IF(A70="","",IF(MONTH(A70)&lt;=3,1,IF(MONTH(A70)&lt;=5,2,IF(MONTH(A70)&lt;=8,3,4))))</f>
        <v/>
      </c>
      <c r="I70">
        <f>IF(A70="","",MONTH(A70))</f>
        <v/>
      </c>
    </row>
    <row r="71">
      <c r="A71" s="15" t="n"/>
      <c r="B71" s="16" t="n"/>
      <c r="C71" s="16" t="n"/>
      <c r="D71" s="16" t="n"/>
      <c r="E71" s="18" t="n"/>
      <c r="F71" s="16" t="n"/>
      <c r="G71">
        <f>IF(A71="","",YEAR(A71))</f>
        <v/>
      </c>
      <c r="H71">
        <f>IF(A71="","",IF(MONTH(A71)&lt;=3,1,IF(MONTH(A71)&lt;=5,2,IF(MONTH(A71)&lt;=8,3,4))))</f>
        <v/>
      </c>
      <c r="I71">
        <f>IF(A71="","",MONTH(A71))</f>
        <v/>
      </c>
    </row>
    <row r="72">
      <c r="A72" s="15" t="n"/>
      <c r="B72" s="16" t="n"/>
      <c r="C72" s="16" t="n"/>
      <c r="D72" s="16" t="n"/>
      <c r="E72" s="18" t="n"/>
      <c r="F72" s="16" t="n"/>
      <c r="G72">
        <f>IF(A72="","",YEAR(A72))</f>
        <v/>
      </c>
      <c r="H72">
        <f>IF(A72="","",IF(MONTH(A72)&lt;=3,1,IF(MONTH(A72)&lt;=5,2,IF(MONTH(A72)&lt;=8,3,4))))</f>
        <v/>
      </c>
      <c r="I72">
        <f>IF(A72="","",MONTH(A72))</f>
        <v/>
      </c>
    </row>
    <row r="73">
      <c r="A73" s="15" t="n"/>
      <c r="B73" s="16" t="n"/>
      <c r="C73" s="16" t="n"/>
      <c r="D73" s="16" t="n"/>
      <c r="E73" s="18" t="n"/>
      <c r="F73" s="16" t="n"/>
      <c r="G73">
        <f>IF(A73="","",YEAR(A73))</f>
        <v/>
      </c>
      <c r="H73">
        <f>IF(A73="","",IF(MONTH(A73)&lt;=3,1,IF(MONTH(A73)&lt;=5,2,IF(MONTH(A73)&lt;=8,3,4))))</f>
        <v/>
      </c>
      <c r="I73">
        <f>IF(A73="","",MONTH(A73))</f>
        <v/>
      </c>
    </row>
    <row r="74">
      <c r="A74" s="15" t="n"/>
      <c r="B74" s="16" t="n"/>
      <c r="C74" s="16" t="n"/>
      <c r="D74" s="16" t="n"/>
      <c r="E74" s="18" t="n"/>
      <c r="F74" s="16" t="n"/>
      <c r="G74">
        <f>IF(A74="","",YEAR(A74))</f>
        <v/>
      </c>
      <c r="H74">
        <f>IF(A74="","",IF(MONTH(A74)&lt;=3,1,IF(MONTH(A74)&lt;=5,2,IF(MONTH(A74)&lt;=8,3,4))))</f>
        <v/>
      </c>
      <c r="I74">
        <f>IF(A74="","",MONTH(A74))</f>
        <v/>
      </c>
    </row>
    <row r="75">
      <c r="A75" s="15" t="n"/>
      <c r="B75" s="16" t="n"/>
      <c r="C75" s="16" t="n"/>
      <c r="D75" s="16" t="n"/>
      <c r="E75" s="18" t="n"/>
      <c r="F75" s="16" t="n"/>
      <c r="G75">
        <f>IF(A75="","",YEAR(A75))</f>
        <v/>
      </c>
      <c r="H75">
        <f>IF(A75="","",IF(MONTH(A75)&lt;=3,1,IF(MONTH(A75)&lt;=5,2,IF(MONTH(A75)&lt;=8,3,4))))</f>
        <v/>
      </c>
      <c r="I75">
        <f>IF(A75="","",MONTH(A75))</f>
        <v/>
      </c>
    </row>
    <row r="76">
      <c r="A76" s="15" t="n"/>
      <c r="B76" s="16" t="n"/>
      <c r="C76" s="16" t="n"/>
      <c r="D76" s="16" t="n"/>
      <c r="E76" s="18" t="n"/>
      <c r="F76" s="16" t="n"/>
      <c r="G76">
        <f>IF(A76="","",YEAR(A76))</f>
        <v/>
      </c>
      <c r="H76">
        <f>IF(A76="","",IF(MONTH(A76)&lt;=3,1,IF(MONTH(A76)&lt;=5,2,IF(MONTH(A76)&lt;=8,3,4))))</f>
        <v/>
      </c>
      <c r="I76">
        <f>IF(A76="","",MONTH(A76))</f>
        <v/>
      </c>
    </row>
    <row r="77">
      <c r="A77" s="15" t="n"/>
      <c r="B77" s="16" t="n"/>
      <c r="C77" s="16" t="n"/>
      <c r="D77" s="16" t="n"/>
      <c r="E77" s="18" t="n"/>
      <c r="F77" s="16" t="n"/>
      <c r="G77">
        <f>IF(A77="","",YEAR(A77))</f>
        <v/>
      </c>
      <c r="H77">
        <f>IF(A77="","",IF(MONTH(A77)&lt;=3,1,IF(MONTH(A77)&lt;=5,2,IF(MONTH(A77)&lt;=8,3,4))))</f>
        <v/>
      </c>
      <c r="I77">
        <f>IF(A77="","",MONTH(A77))</f>
        <v/>
      </c>
    </row>
    <row r="78">
      <c r="A78" s="15" t="n"/>
      <c r="B78" s="16" t="n"/>
      <c r="C78" s="16" t="n"/>
      <c r="D78" s="16" t="n"/>
      <c r="E78" s="18" t="n"/>
      <c r="F78" s="16" t="n"/>
      <c r="G78">
        <f>IF(A78="","",YEAR(A78))</f>
        <v/>
      </c>
      <c r="H78">
        <f>IF(A78="","",IF(MONTH(A78)&lt;=3,1,IF(MONTH(A78)&lt;=5,2,IF(MONTH(A78)&lt;=8,3,4))))</f>
        <v/>
      </c>
      <c r="I78">
        <f>IF(A78="","",MONTH(A78))</f>
        <v/>
      </c>
    </row>
    <row r="79">
      <c r="A79" s="15" t="n"/>
      <c r="B79" s="16" t="n"/>
      <c r="C79" s="16" t="n"/>
      <c r="D79" s="16" t="n"/>
      <c r="E79" s="18" t="n"/>
      <c r="F79" s="16" t="n"/>
      <c r="G79">
        <f>IF(A79="","",YEAR(A79))</f>
        <v/>
      </c>
      <c r="H79">
        <f>IF(A79="","",IF(MONTH(A79)&lt;=3,1,IF(MONTH(A79)&lt;=5,2,IF(MONTH(A79)&lt;=8,3,4))))</f>
        <v/>
      </c>
      <c r="I79">
        <f>IF(A79="","",MONTH(A79))</f>
        <v/>
      </c>
    </row>
    <row r="80">
      <c r="A80" s="15" t="n"/>
      <c r="B80" s="16" t="n"/>
      <c r="C80" s="16" t="n"/>
      <c r="D80" s="16" t="n"/>
      <c r="E80" s="18" t="n"/>
      <c r="F80" s="16" t="n"/>
      <c r="G80">
        <f>IF(A80="","",YEAR(A80))</f>
        <v/>
      </c>
      <c r="H80">
        <f>IF(A80="","",IF(MONTH(A80)&lt;=3,1,IF(MONTH(A80)&lt;=5,2,IF(MONTH(A80)&lt;=8,3,4))))</f>
        <v/>
      </c>
      <c r="I80">
        <f>IF(A80="","",MONTH(A80))</f>
        <v/>
      </c>
    </row>
    <row r="81">
      <c r="A81" s="15" t="n"/>
      <c r="B81" s="16" t="n"/>
      <c r="C81" s="16" t="n"/>
      <c r="D81" s="16" t="n"/>
      <c r="E81" s="18" t="n"/>
      <c r="F81" s="16" t="n"/>
      <c r="G81">
        <f>IF(A81="","",YEAR(A81))</f>
        <v/>
      </c>
      <c r="H81">
        <f>IF(A81="","",IF(MONTH(A81)&lt;=3,1,IF(MONTH(A81)&lt;=5,2,IF(MONTH(A81)&lt;=8,3,4))))</f>
        <v/>
      </c>
      <c r="I81">
        <f>IF(A81="","",MONTH(A81))</f>
        <v/>
      </c>
    </row>
    <row r="82">
      <c r="A82" s="15" t="n"/>
      <c r="B82" s="16" t="n"/>
      <c r="C82" s="16" t="n"/>
      <c r="D82" s="16" t="n"/>
      <c r="E82" s="18" t="n"/>
      <c r="F82" s="16" t="n"/>
      <c r="G82">
        <f>IF(A82="","",YEAR(A82))</f>
        <v/>
      </c>
      <c r="H82">
        <f>IF(A82="","",IF(MONTH(A82)&lt;=3,1,IF(MONTH(A82)&lt;=5,2,IF(MONTH(A82)&lt;=8,3,4))))</f>
        <v/>
      </c>
      <c r="I82">
        <f>IF(A82="","",MONTH(A82))</f>
        <v/>
      </c>
    </row>
    <row r="83">
      <c r="A83" s="15" t="n"/>
      <c r="B83" s="16" t="n"/>
      <c r="C83" s="16" t="n"/>
      <c r="D83" s="16" t="n"/>
      <c r="E83" s="18" t="n"/>
      <c r="F83" s="16" t="n"/>
      <c r="G83">
        <f>IF(A83="","",YEAR(A83))</f>
        <v/>
      </c>
      <c r="H83">
        <f>IF(A83="","",IF(MONTH(A83)&lt;=3,1,IF(MONTH(A83)&lt;=5,2,IF(MONTH(A83)&lt;=8,3,4))))</f>
        <v/>
      </c>
      <c r="I83">
        <f>IF(A83="","",MONTH(A83))</f>
        <v/>
      </c>
    </row>
    <row r="84">
      <c r="A84" s="15" t="n"/>
      <c r="B84" s="16" t="n"/>
      <c r="C84" s="16" t="n"/>
      <c r="D84" s="16" t="n"/>
      <c r="E84" s="18" t="n"/>
      <c r="F84" s="16" t="n"/>
      <c r="G84">
        <f>IF(A84="","",YEAR(A84))</f>
        <v/>
      </c>
      <c r="H84">
        <f>IF(A84="","",IF(MONTH(A84)&lt;=3,1,IF(MONTH(A84)&lt;=5,2,IF(MONTH(A84)&lt;=8,3,4))))</f>
        <v/>
      </c>
      <c r="I84">
        <f>IF(A84="","",MONTH(A84))</f>
        <v/>
      </c>
    </row>
    <row r="85">
      <c r="A85" s="15" t="n"/>
      <c r="B85" s="16" t="n"/>
      <c r="C85" s="16" t="n"/>
      <c r="D85" s="16" t="n"/>
      <c r="E85" s="18" t="n"/>
      <c r="F85" s="16" t="n"/>
      <c r="G85">
        <f>IF(A85="","",YEAR(A85))</f>
        <v/>
      </c>
      <c r="H85">
        <f>IF(A85="","",IF(MONTH(A85)&lt;=3,1,IF(MONTH(A85)&lt;=5,2,IF(MONTH(A85)&lt;=8,3,4))))</f>
        <v/>
      </c>
      <c r="I85">
        <f>IF(A85="","",MONTH(A85))</f>
        <v/>
      </c>
    </row>
    <row r="86">
      <c r="A86" s="15" t="n"/>
      <c r="B86" s="16" t="n"/>
      <c r="C86" s="16" t="n"/>
      <c r="D86" s="16" t="n"/>
      <c r="E86" s="18" t="n"/>
      <c r="F86" s="16" t="n"/>
      <c r="G86">
        <f>IF(A86="","",YEAR(A86))</f>
        <v/>
      </c>
      <c r="H86">
        <f>IF(A86="","",IF(MONTH(A86)&lt;=3,1,IF(MONTH(A86)&lt;=5,2,IF(MONTH(A86)&lt;=8,3,4))))</f>
        <v/>
      </c>
      <c r="I86">
        <f>IF(A86="","",MONTH(A86))</f>
        <v/>
      </c>
    </row>
    <row r="87">
      <c r="A87" s="15" t="n"/>
      <c r="B87" s="16" t="n"/>
      <c r="C87" s="16" t="n"/>
      <c r="D87" s="16" t="n"/>
      <c r="E87" s="18" t="n"/>
      <c r="F87" s="16" t="n"/>
      <c r="G87">
        <f>IF(A87="","",YEAR(A87))</f>
        <v/>
      </c>
      <c r="H87">
        <f>IF(A87="","",IF(MONTH(A87)&lt;=3,1,IF(MONTH(A87)&lt;=5,2,IF(MONTH(A87)&lt;=8,3,4))))</f>
        <v/>
      </c>
      <c r="I87">
        <f>IF(A87="","",MONTH(A87))</f>
        <v/>
      </c>
    </row>
    <row r="88">
      <c r="A88" s="15" t="n"/>
      <c r="B88" s="16" t="n"/>
      <c r="C88" s="16" t="n"/>
      <c r="D88" s="16" t="n"/>
      <c r="E88" s="18" t="n"/>
      <c r="F88" s="16" t="n"/>
      <c r="G88">
        <f>IF(A88="","",YEAR(A88))</f>
        <v/>
      </c>
      <c r="H88">
        <f>IF(A88="","",IF(MONTH(A88)&lt;=3,1,IF(MONTH(A88)&lt;=5,2,IF(MONTH(A88)&lt;=8,3,4))))</f>
        <v/>
      </c>
      <c r="I88">
        <f>IF(A88="","",MONTH(A88))</f>
        <v/>
      </c>
    </row>
    <row r="89">
      <c r="A89" s="15" t="n"/>
      <c r="B89" s="16" t="n"/>
      <c r="C89" s="16" t="n"/>
      <c r="D89" s="16" t="n"/>
      <c r="E89" s="18" t="n"/>
      <c r="F89" s="16" t="n"/>
      <c r="G89">
        <f>IF(A89="","",YEAR(A89))</f>
        <v/>
      </c>
      <c r="H89">
        <f>IF(A89="","",IF(MONTH(A89)&lt;=3,1,IF(MONTH(A89)&lt;=5,2,IF(MONTH(A89)&lt;=8,3,4))))</f>
        <v/>
      </c>
      <c r="I89">
        <f>IF(A89="","",MONTH(A89))</f>
        <v/>
      </c>
    </row>
    <row r="90">
      <c r="A90" s="15" t="n"/>
      <c r="B90" s="16" t="n"/>
      <c r="C90" s="16" t="n"/>
      <c r="D90" s="16" t="n"/>
      <c r="E90" s="18" t="n"/>
      <c r="F90" s="16" t="n"/>
      <c r="G90">
        <f>IF(A90="","",YEAR(A90))</f>
        <v/>
      </c>
      <c r="H90">
        <f>IF(A90="","",IF(MONTH(A90)&lt;=3,1,IF(MONTH(A90)&lt;=5,2,IF(MONTH(A90)&lt;=8,3,4))))</f>
        <v/>
      </c>
      <c r="I90">
        <f>IF(A90="","",MONTH(A90))</f>
        <v/>
      </c>
    </row>
    <row r="91">
      <c r="A91" s="15" t="n"/>
      <c r="B91" s="16" t="n"/>
      <c r="C91" s="16" t="n"/>
      <c r="D91" s="16" t="n"/>
      <c r="E91" s="18" t="n"/>
      <c r="F91" s="16" t="n"/>
      <c r="G91">
        <f>IF(A91="","",YEAR(A91))</f>
        <v/>
      </c>
      <c r="H91">
        <f>IF(A91="","",IF(MONTH(A91)&lt;=3,1,IF(MONTH(A91)&lt;=5,2,IF(MONTH(A91)&lt;=8,3,4))))</f>
        <v/>
      </c>
      <c r="I91">
        <f>IF(A91="","",MONTH(A91))</f>
        <v/>
      </c>
    </row>
    <row r="92">
      <c r="A92" s="15" t="n"/>
      <c r="B92" s="16" t="n"/>
      <c r="C92" s="16" t="n"/>
      <c r="D92" s="16" t="n"/>
      <c r="E92" s="18" t="n"/>
      <c r="F92" s="16" t="n"/>
      <c r="G92">
        <f>IF(A92="","",YEAR(A92))</f>
        <v/>
      </c>
      <c r="H92">
        <f>IF(A92="","",IF(MONTH(A92)&lt;=3,1,IF(MONTH(A92)&lt;=5,2,IF(MONTH(A92)&lt;=8,3,4))))</f>
        <v/>
      </c>
      <c r="I92">
        <f>IF(A92="","",MONTH(A92))</f>
        <v/>
      </c>
    </row>
    <row r="93">
      <c r="A93" s="15" t="n"/>
      <c r="B93" s="16" t="n"/>
      <c r="C93" s="16" t="n"/>
      <c r="D93" s="16" t="n"/>
      <c r="E93" s="18" t="n"/>
      <c r="F93" s="16" t="n"/>
      <c r="G93">
        <f>IF(A93="","",YEAR(A93))</f>
        <v/>
      </c>
      <c r="H93">
        <f>IF(A93="","",IF(MONTH(A93)&lt;=3,1,IF(MONTH(A93)&lt;=5,2,IF(MONTH(A93)&lt;=8,3,4))))</f>
        <v/>
      </c>
      <c r="I93">
        <f>IF(A93="","",MONTH(A93))</f>
        <v/>
      </c>
    </row>
    <row r="94">
      <c r="A94" s="15" t="n"/>
      <c r="B94" s="16" t="n"/>
      <c r="C94" s="16" t="n"/>
      <c r="D94" s="16" t="n"/>
      <c r="E94" s="18" t="n"/>
      <c r="F94" s="16" t="n"/>
      <c r="G94">
        <f>IF(A94="","",YEAR(A94))</f>
        <v/>
      </c>
      <c r="H94">
        <f>IF(A94="","",IF(MONTH(A94)&lt;=3,1,IF(MONTH(A94)&lt;=5,2,IF(MONTH(A94)&lt;=8,3,4))))</f>
        <v/>
      </c>
      <c r="I94">
        <f>IF(A94="","",MONTH(A94))</f>
        <v/>
      </c>
    </row>
    <row r="95">
      <c r="A95" s="15" t="n"/>
      <c r="B95" s="16" t="n"/>
      <c r="C95" s="16" t="n"/>
      <c r="D95" s="16" t="n"/>
      <c r="E95" s="18" t="n"/>
      <c r="F95" s="16" t="n"/>
      <c r="G95">
        <f>IF(A95="","",YEAR(A95))</f>
        <v/>
      </c>
      <c r="H95">
        <f>IF(A95="","",IF(MONTH(A95)&lt;=3,1,IF(MONTH(A95)&lt;=5,2,IF(MONTH(A95)&lt;=8,3,4))))</f>
        <v/>
      </c>
      <c r="I95">
        <f>IF(A95="","",MONTH(A95))</f>
        <v/>
      </c>
    </row>
    <row r="96">
      <c r="A96" s="15" t="n"/>
      <c r="B96" s="16" t="n"/>
      <c r="C96" s="16" t="n"/>
      <c r="D96" s="16" t="n"/>
      <c r="E96" s="18" t="n"/>
      <c r="F96" s="16" t="n"/>
      <c r="G96">
        <f>IF(A96="","",YEAR(A96))</f>
        <v/>
      </c>
      <c r="H96">
        <f>IF(A96="","",IF(MONTH(A96)&lt;=3,1,IF(MONTH(A96)&lt;=5,2,IF(MONTH(A96)&lt;=8,3,4))))</f>
        <v/>
      </c>
      <c r="I96">
        <f>IF(A96="","",MONTH(A96))</f>
        <v/>
      </c>
    </row>
    <row r="97">
      <c r="A97" s="15" t="n"/>
      <c r="B97" s="16" t="n"/>
      <c r="C97" s="16" t="n"/>
      <c r="D97" s="16" t="n"/>
      <c r="E97" s="18" t="n"/>
      <c r="F97" s="16" t="n"/>
      <c r="G97">
        <f>IF(A97="","",YEAR(A97))</f>
        <v/>
      </c>
      <c r="H97">
        <f>IF(A97="","",IF(MONTH(A97)&lt;=3,1,IF(MONTH(A97)&lt;=5,2,IF(MONTH(A97)&lt;=8,3,4))))</f>
        <v/>
      </c>
      <c r="I97">
        <f>IF(A97="","",MONTH(A97))</f>
        <v/>
      </c>
    </row>
    <row r="98">
      <c r="A98" s="15" t="n"/>
      <c r="B98" s="16" t="n"/>
      <c r="C98" s="16" t="n"/>
      <c r="D98" s="16" t="n"/>
      <c r="E98" s="18" t="n"/>
      <c r="F98" s="16" t="n"/>
      <c r="G98">
        <f>IF(A98="","",YEAR(A98))</f>
        <v/>
      </c>
      <c r="H98">
        <f>IF(A98="","",IF(MONTH(A98)&lt;=3,1,IF(MONTH(A98)&lt;=5,2,IF(MONTH(A98)&lt;=8,3,4))))</f>
        <v/>
      </c>
      <c r="I98">
        <f>IF(A98="","",MONTH(A98))</f>
        <v/>
      </c>
    </row>
    <row r="99">
      <c r="A99" s="15" t="n"/>
      <c r="B99" s="16" t="n"/>
      <c r="C99" s="16" t="n"/>
      <c r="D99" s="16" t="n"/>
      <c r="E99" s="18" t="n"/>
      <c r="F99" s="16" t="n"/>
      <c r="G99">
        <f>IF(A99="","",YEAR(A99))</f>
        <v/>
      </c>
      <c r="H99">
        <f>IF(A99="","",IF(MONTH(A99)&lt;=3,1,IF(MONTH(A99)&lt;=5,2,IF(MONTH(A99)&lt;=8,3,4))))</f>
        <v/>
      </c>
      <c r="I99">
        <f>IF(A99="","",MONTH(A99))</f>
        <v/>
      </c>
    </row>
    <row r="100">
      <c r="A100" s="15" t="n"/>
      <c r="B100" s="16" t="n"/>
      <c r="C100" s="16" t="n"/>
      <c r="D100" s="16" t="n"/>
      <c r="E100" s="18" t="n"/>
      <c r="F100" s="16" t="n"/>
      <c r="G100">
        <f>IF(A100="","",YEAR(A100))</f>
        <v/>
      </c>
      <c r="H100">
        <f>IF(A100="","",IF(MONTH(A100)&lt;=3,1,IF(MONTH(A100)&lt;=5,2,IF(MONTH(A100)&lt;=8,3,4))))</f>
        <v/>
      </c>
      <c r="I100">
        <f>IF(A100="","",MONTH(A100))</f>
        <v/>
      </c>
    </row>
    <row r="101">
      <c r="A101" s="15" t="n"/>
      <c r="B101" s="16" t="n"/>
      <c r="C101" s="16" t="n"/>
      <c r="D101" s="16" t="n"/>
      <c r="E101" s="18" t="n"/>
      <c r="F101" s="16" t="n"/>
      <c r="G101">
        <f>IF(A101="","",YEAR(A101))</f>
        <v/>
      </c>
      <c r="H101">
        <f>IF(A101="","",IF(MONTH(A101)&lt;=3,1,IF(MONTH(A101)&lt;=5,2,IF(MONTH(A101)&lt;=8,3,4))))</f>
        <v/>
      </c>
      <c r="I101">
        <f>IF(A101="","",MONTH(A101))</f>
        <v/>
      </c>
    </row>
    <row r="102">
      <c r="A102" s="15" t="n"/>
      <c r="B102" s="16" t="n"/>
      <c r="C102" s="16" t="n"/>
      <c r="D102" s="16" t="n"/>
      <c r="E102" s="18" t="n"/>
      <c r="F102" s="16" t="n"/>
      <c r="G102">
        <f>IF(A102="","",YEAR(A102))</f>
        <v/>
      </c>
      <c r="H102">
        <f>IF(A102="","",IF(MONTH(A102)&lt;=3,1,IF(MONTH(A102)&lt;=5,2,IF(MONTH(A102)&lt;=8,3,4))))</f>
        <v/>
      </c>
      <c r="I102">
        <f>IF(A102="","",MONTH(A102))</f>
        <v/>
      </c>
    </row>
    <row r="103">
      <c r="A103" s="15" t="n"/>
      <c r="B103" s="16" t="n"/>
      <c r="C103" s="16" t="n"/>
      <c r="D103" s="16" t="n"/>
      <c r="E103" s="18" t="n"/>
      <c r="F103" s="16" t="n"/>
      <c r="G103">
        <f>IF(A103="","",YEAR(A103))</f>
        <v/>
      </c>
      <c r="H103">
        <f>IF(A103="","",IF(MONTH(A103)&lt;=3,1,IF(MONTH(A103)&lt;=5,2,IF(MONTH(A103)&lt;=8,3,4))))</f>
        <v/>
      </c>
      <c r="I103">
        <f>IF(A103="","",MONTH(A103))</f>
        <v/>
      </c>
    </row>
    <row r="104">
      <c r="A104" s="15" t="n"/>
      <c r="B104" s="16" t="n"/>
      <c r="C104" s="16" t="n"/>
      <c r="D104" s="16" t="n"/>
      <c r="E104" s="18" t="n"/>
      <c r="F104" s="16" t="n"/>
      <c r="G104">
        <f>IF(A104="","",YEAR(A104))</f>
        <v/>
      </c>
      <c r="H104">
        <f>IF(A104="","",IF(MONTH(A104)&lt;=3,1,IF(MONTH(A104)&lt;=5,2,IF(MONTH(A104)&lt;=8,3,4))))</f>
        <v/>
      </c>
      <c r="I104">
        <f>IF(A104="","",MONTH(A104))</f>
        <v/>
      </c>
    </row>
    <row r="105">
      <c r="A105" s="15" t="n"/>
      <c r="B105" s="16" t="n"/>
      <c r="C105" s="16" t="n"/>
      <c r="D105" s="16" t="n"/>
      <c r="E105" s="18" t="n"/>
      <c r="F105" s="16" t="n"/>
      <c r="G105">
        <f>IF(A105="","",YEAR(A105))</f>
        <v/>
      </c>
      <c r="H105">
        <f>IF(A105="","",IF(MONTH(A105)&lt;=3,1,IF(MONTH(A105)&lt;=5,2,IF(MONTH(A105)&lt;=8,3,4))))</f>
        <v/>
      </c>
      <c r="I105">
        <f>IF(A105="","",MONTH(A105))</f>
        <v/>
      </c>
    </row>
    <row r="106">
      <c r="A106" s="15" t="n"/>
      <c r="B106" s="16" t="n"/>
      <c r="C106" s="16" t="n"/>
      <c r="D106" s="16" t="n"/>
      <c r="E106" s="18" t="n"/>
      <c r="F106" s="16" t="n"/>
      <c r="G106">
        <f>IF(A106="","",YEAR(A106))</f>
        <v/>
      </c>
      <c r="H106">
        <f>IF(A106="","",IF(MONTH(A106)&lt;=3,1,IF(MONTH(A106)&lt;=5,2,IF(MONTH(A106)&lt;=8,3,4))))</f>
        <v/>
      </c>
      <c r="I106">
        <f>IF(A106="","",MONTH(A106))</f>
        <v/>
      </c>
    </row>
    <row r="107">
      <c r="A107" s="15" t="n"/>
      <c r="B107" s="16" t="n"/>
      <c r="C107" s="16" t="n"/>
      <c r="D107" s="16" t="n"/>
      <c r="E107" s="18" t="n"/>
      <c r="F107" s="16" t="n"/>
      <c r="G107">
        <f>IF(A107="","",YEAR(A107))</f>
        <v/>
      </c>
      <c r="H107">
        <f>IF(A107="","",IF(MONTH(A107)&lt;=3,1,IF(MONTH(A107)&lt;=5,2,IF(MONTH(A107)&lt;=8,3,4))))</f>
        <v/>
      </c>
      <c r="I107">
        <f>IF(A107="","",MONTH(A107))</f>
        <v/>
      </c>
    </row>
    <row r="108">
      <c r="A108" s="15" t="n"/>
      <c r="B108" s="16" t="n"/>
      <c r="C108" s="16" t="n"/>
      <c r="D108" s="16" t="n"/>
      <c r="E108" s="18" t="n"/>
      <c r="F108" s="16" t="n"/>
      <c r="G108">
        <f>IF(A108="","",YEAR(A108))</f>
        <v/>
      </c>
      <c r="H108">
        <f>IF(A108="","",IF(MONTH(A108)&lt;=3,1,IF(MONTH(A108)&lt;=5,2,IF(MONTH(A108)&lt;=8,3,4))))</f>
        <v/>
      </c>
      <c r="I108">
        <f>IF(A108="","",MONTH(A108))</f>
        <v/>
      </c>
    </row>
    <row r="109">
      <c r="A109" s="15" t="n"/>
      <c r="B109" s="16" t="n"/>
      <c r="C109" s="16" t="n"/>
      <c r="D109" s="16" t="n"/>
      <c r="E109" s="18" t="n"/>
      <c r="F109" s="16" t="n"/>
      <c r="G109">
        <f>IF(A109="","",YEAR(A109))</f>
        <v/>
      </c>
      <c r="H109">
        <f>IF(A109="","",IF(MONTH(A109)&lt;=3,1,IF(MONTH(A109)&lt;=5,2,IF(MONTH(A109)&lt;=8,3,4))))</f>
        <v/>
      </c>
      <c r="I109">
        <f>IF(A109="","",MONTH(A109))</f>
        <v/>
      </c>
    </row>
    <row r="110">
      <c r="A110" s="15" t="n"/>
      <c r="B110" s="16" t="n"/>
      <c r="C110" s="16" t="n"/>
      <c r="D110" s="16" t="n"/>
      <c r="E110" s="18" t="n"/>
      <c r="F110" s="16" t="n"/>
      <c r="G110">
        <f>IF(A110="","",YEAR(A110))</f>
        <v/>
      </c>
      <c r="H110">
        <f>IF(A110="","",IF(MONTH(A110)&lt;=3,1,IF(MONTH(A110)&lt;=5,2,IF(MONTH(A110)&lt;=8,3,4))))</f>
        <v/>
      </c>
      <c r="I110">
        <f>IF(A110="","",MONTH(A110))</f>
        <v/>
      </c>
    </row>
    <row r="111">
      <c r="A111" s="15" t="n"/>
      <c r="B111" s="16" t="n"/>
      <c r="C111" s="16" t="n"/>
      <c r="D111" s="16" t="n"/>
      <c r="E111" s="18" t="n"/>
      <c r="F111" s="16" t="n"/>
      <c r="G111">
        <f>IF(A111="","",YEAR(A111))</f>
        <v/>
      </c>
      <c r="H111">
        <f>IF(A111="","",IF(MONTH(A111)&lt;=3,1,IF(MONTH(A111)&lt;=5,2,IF(MONTH(A111)&lt;=8,3,4))))</f>
        <v/>
      </c>
      <c r="I111">
        <f>IF(A111="","",MONTH(A111))</f>
        <v/>
      </c>
    </row>
    <row r="112">
      <c r="A112" s="15" t="n"/>
      <c r="B112" s="16" t="n"/>
      <c r="C112" s="16" t="n"/>
      <c r="D112" s="16" t="n"/>
      <c r="E112" s="18" t="n"/>
      <c r="F112" s="16" t="n"/>
      <c r="G112">
        <f>IF(A112="","",YEAR(A112))</f>
        <v/>
      </c>
      <c r="H112">
        <f>IF(A112="","",IF(MONTH(A112)&lt;=3,1,IF(MONTH(A112)&lt;=5,2,IF(MONTH(A112)&lt;=8,3,4))))</f>
        <v/>
      </c>
      <c r="I112">
        <f>IF(A112="","",MONTH(A112))</f>
        <v/>
      </c>
    </row>
    <row r="113">
      <c r="A113" s="15" t="n"/>
      <c r="B113" s="16" t="n"/>
      <c r="C113" s="16" t="n"/>
      <c r="D113" s="16" t="n"/>
      <c r="E113" s="18" t="n"/>
      <c r="F113" s="16" t="n"/>
      <c r="G113">
        <f>IF(A113="","",YEAR(A113))</f>
        <v/>
      </c>
      <c r="H113">
        <f>IF(A113="","",IF(MONTH(A113)&lt;=3,1,IF(MONTH(A113)&lt;=5,2,IF(MONTH(A113)&lt;=8,3,4))))</f>
        <v/>
      </c>
      <c r="I113">
        <f>IF(A113="","",MONTH(A113))</f>
        <v/>
      </c>
    </row>
    <row r="114">
      <c r="A114" s="15" t="n"/>
      <c r="B114" s="16" t="n"/>
      <c r="C114" s="16" t="n"/>
      <c r="D114" s="16" t="n"/>
      <c r="E114" s="18" t="n"/>
      <c r="F114" s="16" t="n"/>
      <c r="G114">
        <f>IF(A114="","",YEAR(A114))</f>
        <v/>
      </c>
      <c r="H114">
        <f>IF(A114="","",IF(MONTH(A114)&lt;=3,1,IF(MONTH(A114)&lt;=5,2,IF(MONTH(A114)&lt;=8,3,4))))</f>
        <v/>
      </c>
      <c r="I114">
        <f>IF(A114="","",MONTH(A114))</f>
        <v/>
      </c>
    </row>
    <row r="115">
      <c r="A115" s="15" t="n"/>
      <c r="B115" s="16" t="n"/>
      <c r="C115" s="16" t="n"/>
      <c r="D115" s="16" t="n"/>
      <c r="E115" s="18" t="n"/>
      <c r="F115" s="16" t="n"/>
      <c r="G115">
        <f>IF(A115="","",YEAR(A115))</f>
        <v/>
      </c>
      <c r="H115">
        <f>IF(A115="","",IF(MONTH(A115)&lt;=3,1,IF(MONTH(A115)&lt;=5,2,IF(MONTH(A115)&lt;=8,3,4))))</f>
        <v/>
      </c>
      <c r="I115">
        <f>IF(A115="","",MONTH(A115))</f>
        <v/>
      </c>
    </row>
    <row r="116">
      <c r="A116" s="15" t="n"/>
      <c r="B116" s="16" t="n"/>
      <c r="C116" s="16" t="n"/>
      <c r="D116" s="16" t="n"/>
      <c r="E116" s="18" t="n"/>
      <c r="F116" s="16" t="n"/>
      <c r="G116">
        <f>IF(A116="","",YEAR(A116))</f>
        <v/>
      </c>
      <c r="H116">
        <f>IF(A116="","",IF(MONTH(A116)&lt;=3,1,IF(MONTH(A116)&lt;=5,2,IF(MONTH(A116)&lt;=8,3,4))))</f>
        <v/>
      </c>
      <c r="I116">
        <f>IF(A116="","",MONTH(A116))</f>
        <v/>
      </c>
    </row>
    <row r="117">
      <c r="A117" s="15" t="n"/>
      <c r="B117" s="16" t="n"/>
      <c r="C117" s="16" t="n"/>
      <c r="D117" s="16" t="n"/>
      <c r="E117" s="18" t="n"/>
      <c r="F117" s="16" t="n"/>
      <c r="G117">
        <f>IF(A117="","",YEAR(A117))</f>
        <v/>
      </c>
      <c r="H117">
        <f>IF(A117="","",IF(MONTH(A117)&lt;=3,1,IF(MONTH(A117)&lt;=5,2,IF(MONTH(A117)&lt;=8,3,4))))</f>
        <v/>
      </c>
      <c r="I117">
        <f>IF(A117="","",MONTH(A117))</f>
        <v/>
      </c>
    </row>
    <row r="118">
      <c r="A118" s="15" t="n"/>
      <c r="B118" s="16" t="n"/>
      <c r="C118" s="16" t="n"/>
      <c r="D118" s="16" t="n"/>
      <c r="E118" s="18" t="n"/>
      <c r="F118" s="16" t="n"/>
      <c r="G118">
        <f>IF(A118="","",YEAR(A118))</f>
        <v/>
      </c>
      <c r="H118">
        <f>IF(A118="","",IF(MONTH(A118)&lt;=3,1,IF(MONTH(A118)&lt;=5,2,IF(MONTH(A118)&lt;=8,3,4))))</f>
        <v/>
      </c>
      <c r="I118">
        <f>IF(A118="","",MONTH(A118))</f>
        <v/>
      </c>
    </row>
    <row r="119">
      <c r="A119" s="15" t="n"/>
      <c r="B119" s="16" t="n"/>
      <c r="C119" s="16" t="n"/>
      <c r="D119" s="16" t="n"/>
      <c r="E119" s="18" t="n"/>
      <c r="F119" s="16" t="n"/>
      <c r="G119">
        <f>IF(A119="","",YEAR(A119))</f>
        <v/>
      </c>
      <c r="H119">
        <f>IF(A119="","",IF(MONTH(A119)&lt;=3,1,IF(MONTH(A119)&lt;=5,2,IF(MONTH(A119)&lt;=8,3,4))))</f>
        <v/>
      </c>
      <c r="I119">
        <f>IF(A119="","",MONTH(A119))</f>
        <v/>
      </c>
    </row>
    <row r="120">
      <c r="A120" s="15" t="n"/>
      <c r="B120" s="16" t="n"/>
      <c r="C120" s="16" t="n"/>
      <c r="D120" s="16" t="n"/>
      <c r="E120" s="18" t="n"/>
      <c r="F120" s="16" t="n"/>
      <c r="G120">
        <f>IF(A120="","",YEAR(A120))</f>
        <v/>
      </c>
      <c r="H120">
        <f>IF(A120="","",IF(MONTH(A120)&lt;=3,1,IF(MONTH(A120)&lt;=5,2,IF(MONTH(A120)&lt;=8,3,4))))</f>
        <v/>
      </c>
      <c r="I120">
        <f>IF(A120="","",MONTH(A120))</f>
        <v/>
      </c>
    </row>
    <row r="121">
      <c r="A121" s="15" t="n"/>
      <c r="B121" s="16" t="n"/>
      <c r="C121" s="16" t="n"/>
      <c r="D121" s="16" t="n"/>
      <c r="E121" s="18" t="n"/>
      <c r="F121" s="16" t="n"/>
      <c r="G121">
        <f>IF(A121="","",YEAR(A121))</f>
        <v/>
      </c>
      <c r="H121">
        <f>IF(A121="","",IF(MONTH(A121)&lt;=3,1,IF(MONTH(A121)&lt;=5,2,IF(MONTH(A121)&lt;=8,3,4))))</f>
        <v/>
      </c>
      <c r="I121">
        <f>IF(A121="","",MONTH(A121))</f>
        <v/>
      </c>
    </row>
    <row r="122">
      <c r="A122" s="15" t="n"/>
      <c r="B122" s="16" t="n"/>
      <c r="C122" s="16" t="n"/>
      <c r="D122" s="16" t="n"/>
      <c r="E122" s="18" t="n"/>
      <c r="F122" s="16" t="n"/>
      <c r="G122">
        <f>IF(A122="","",YEAR(A122))</f>
        <v/>
      </c>
      <c r="H122">
        <f>IF(A122="","",IF(MONTH(A122)&lt;=3,1,IF(MONTH(A122)&lt;=5,2,IF(MONTH(A122)&lt;=8,3,4))))</f>
        <v/>
      </c>
      <c r="I122">
        <f>IF(A122="","",MONTH(A122))</f>
        <v/>
      </c>
    </row>
    <row r="123">
      <c r="A123" s="15" t="n"/>
      <c r="B123" s="16" t="n"/>
      <c r="C123" s="16" t="n"/>
      <c r="D123" s="16" t="n"/>
      <c r="E123" s="18" t="n"/>
      <c r="F123" s="16" t="n"/>
      <c r="G123">
        <f>IF(A123="","",YEAR(A123))</f>
        <v/>
      </c>
      <c r="H123">
        <f>IF(A123="","",IF(MONTH(A123)&lt;=3,1,IF(MONTH(A123)&lt;=5,2,IF(MONTH(A123)&lt;=8,3,4))))</f>
        <v/>
      </c>
      <c r="I123">
        <f>IF(A123="","",MONTH(A123))</f>
        <v/>
      </c>
    </row>
    <row r="124">
      <c r="A124" s="15" t="n"/>
      <c r="B124" s="16" t="n"/>
      <c r="C124" s="16" t="n"/>
      <c r="D124" s="16" t="n"/>
      <c r="E124" s="18" t="n"/>
      <c r="F124" s="16" t="n"/>
      <c r="G124">
        <f>IF(A124="","",YEAR(A124))</f>
        <v/>
      </c>
      <c r="H124">
        <f>IF(A124="","",IF(MONTH(A124)&lt;=3,1,IF(MONTH(A124)&lt;=5,2,IF(MONTH(A124)&lt;=8,3,4))))</f>
        <v/>
      </c>
      <c r="I124">
        <f>IF(A124="","",MONTH(A124))</f>
        <v/>
      </c>
    </row>
    <row r="125">
      <c r="A125" s="15" t="n"/>
      <c r="B125" s="16" t="n"/>
      <c r="C125" s="16" t="n"/>
      <c r="D125" s="16" t="n"/>
      <c r="E125" s="18" t="n"/>
      <c r="F125" s="16" t="n"/>
      <c r="G125">
        <f>IF(A125="","",YEAR(A125))</f>
        <v/>
      </c>
      <c r="H125">
        <f>IF(A125="","",IF(MONTH(A125)&lt;=3,1,IF(MONTH(A125)&lt;=5,2,IF(MONTH(A125)&lt;=8,3,4))))</f>
        <v/>
      </c>
      <c r="I125">
        <f>IF(A125="","",MONTH(A125))</f>
        <v/>
      </c>
    </row>
    <row r="126">
      <c r="A126" s="15" t="n"/>
      <c r="B126" s="16" t="n"/>
      <c r="C126" s="16" t="n"/>
      <c r="D126" s="16" t="n"/>
      <c r="E126" s="18" t="n"/>
      <c r="F126" s="16" t="n"/>
      <c r="G126">
        <f>IF(A126="","",YEAR(A126))</f>
        <v/>
      </c>
      <c r="H126">
        <f>IF(A126="","",IF(MONTH(A126)&lt;=3,1,IF(MONTH(A126)&lt;=5,2,IF(MONTH(A126)&lt;=8,3,4))))</f>
        <v/>
      </c>
      <c r="I126">
        <f>IF(A126="","",MONTH(A126))</f>
        <v/>
      </c>
    </row>
    <row r="127">
      <c r="A127" s="15" t="n"/>
      <c r="B127" s="16" t="n"/>
      <c r="C127" s="16" t="n"/>
      <c r="D127" s="16" t="n"/>
      <c r="E127" s="18" t="n"/>
      <c r="F127" s="16" t="n"/>
      <c r="G127">
        <f>IF(A127="","",YEAR(A127))</f>
        <v/>
      </c>
      <c r="H127">
        <f>IF(A127="","",IF(MONTH(A127)&lt;=3,1,IF(MONTH(A127)&lt;=5,2,IF(MONTH(A127)&lt;=8,3,4))))</f>
        <v/>
      </c>
      <c r="I127">
        <f>IF(A127="","",MONTH(A127))</f>
        <v/>
      </c>
    </row>
    <row r="128">
      <c r="A128" s="15" t="n"/>
      <c r="B128" s="16" t="n"/>
      <c r="C128" s="16" t="n"/>
      <c r="D128" s="16" t="n"/>
      <c r="E128" s="18" t="n"/>
      <c r="F128" s="16" t="n"/>
      <c r="G128">
        <f>IF(A128="","",YEAR(A128))</f>
        <v/>
      </c>
      <c r="H128">
        <f>IF(A128="","",IF(MONTH(A128)&lt;=3,1,IF(MONTH(A128)&lt;=5,2,IF(MONTH(A128)&lt;=8,3,4))))</f>
        <v/>
      </c>
      <c r="I128">
        <f>IF(A128="","",MONTH(A128))</f>
        <v/>
      </c>
    </row>
    <row r="129">
      <c r="A129" s="15" t="n"/>
      <c r="B129" s="16" t="n"/>
      <c r="C129" s="16" t="n"/>
      <c r="D129" s="16" t="n"/>
      <c r="E129" s="18" t="n"/>
      <c r="F129" s="16" t="n"/>
      <c r="G129">
        <f>IF(A129="","",YEAR(A129))</f>
        <v/>
      </c>
      <c r="H129">
        <f>IF(A129="","",IF(MONTH(A129)&lt;=3,1,IF(MONTH(A129)&lt;=5,2,IF(MONTH(A129)&lt;=8,3,4))))</f>
        <v/>
      </c>
      <c r="I129">
        <f>IF(A129="","",MONTH(A129))</f>
        <v/>
      </c>
    </row>
    <row r="130">
      <c r="A130" s="15" t="n"/>
      <c r="B130" s="16" t="n"/>
      <c r="C130" s="16" t="n"/>
      <c r="D130" s="16" t="n"/>
      <c r="E130" s="18" t="n"/>
      <c r="F130" s="16" t="n"/>
      <c r="G130">
        <f>IF(A130="","",YEAR(A130))</f>
        <v/>
      </c>
      <c r="H130">
        <f>IF(A130="","",IF(MONTH(A130)&lt;=3,1,IF(MONTH(A130)&lt;=5,2,IF(MONTH(A130)&lt;=8,3,4))))</f>
        <v/>
      </c>
      <c r="I130">
        <f>IF(A130="","",MONTH(A130))</f>
        <v/>
      </c>
    </row>
    <row r="131">
      <c r="A131" s="15" t="n"/>
      <c r="B131" s="16" t="n"/>
      <c r="C131" s="16" t="n"/>
      <c r="D131" s="16" t="n"/>
      <c r="E131" s="18" t="n"/>
      <c r="F131" s="16" t="n"/>
      <c r="G131">
        <f>IF(A131="","",YEAR(A131))</f>
        <v/>
      </c>
      <c r="H131">
        <f>IF(A131="","",IF(MONTH(A131)&lt;=3,1,IF(MONTH(A131)&lt;=5,2,IF(MONTH(A131)&lt;=8,3,4))))</f>
        <v/>
      </c>
      <c r="I131">
        <f>IF(A131="","",MONTH(A131))</f>
        <v/>
      </c>
    </row>
    <row r="132">
      <c r="A132" s="15" t="n"/>
      <c r="B132" s="16" t="n"/>
      <c r="C132" s="16" t="n"/>
      <c r="D132" s="16" t="n"/>
      <c r="E132" s="18" t="n"/>
      <c r="F132" s="16" t="n"/>
      <c r="G132">
        <f>IF(A132="","",YEAR(A132))</f>
        <v/>
      </c>
      <c r="H132">
        <f>IF(A132="","",IF(MONTH(A132)&lt;=3,1,IF(MONTH(A132)&lt;=5,2,IF(MONTH(A132)&lt;=8,3,4))))</f>
        <v/>
      </c>
      <c r="I132">
        <f>IF(A132="","",MONTH(A132))</f>
        <v/>
      </c>
    </row>
    <row r="133">
      <c r="A133" s="15" t="n"/>
      <c r="B133" s="16" t="n"/>
      <c r="C133" s="16" t="n"/>
      <c r="D133" s="16" t="n"/>
      <c r="E133" s="18" t="n"/>
      <c r="F133" s="16" t="n"/>
      <c r="G133">
        <f>IF(A133="","",YEAR(A133))</f>
        <v/>
      </c>
      <c r="H133">
        <f>IF(A133="","",IF(MONTH(A133)&lt;=3,1,IF(MONTH(A133)&lt;=5,2,IF(MONTH(A133)&lt;=8,3,4))))</f>
        <v/>
      </c>
      <c r="I133">
        <f>IF(A133="","",MONTH(A133))</f>
        <v/>
      </c>
    </row>
    <row r="134">
      <c r="A134" s="15" t="n"/>
      <c r="B134" s="16" t="n"/>
      <c r="C134" s="16" t="n"/>
      <c r="D134" s="16" t="n"/>
      <c r="E134" s="18" t="n"/>
      <c r="F134" s="16" t="n"/>
      <c r="G134">
        <f>IF(A134="","",YEAR(A134))</f>
        <v/>
      </c>
      <c r="H134">
        <f>IF(A134="","",IF(MONTH(A134)&lt;=3,1,IF(MONTH(A134)&lt;=5,2,IF(MONTH(A134)&lt;=8,3,4))))</f>
        <v/>
      </c>
      <c r="I134">
        <f>IF(A134="","",MONTH(A134))</f>
        <v/>
      </c>
    </row>
    <row r="135">
      <c r="A135" s="15" t="n"/>
      <c r="B135" s="16" t="n"/>
      <c r="C135" s="16" t="n"/>
      <c r="D135" s="16" t="n"/>
      <c r="E135" s="18" t="n"/>
      <c r="F135" s="16" t="n"/>
      <c r="G135">
        <f>IF(A135="","",YEAR(A135))</f>
        <v/>
      </c>
      <c r="H135">
        <f>IF(A135="","",IF(MONTH(A135)&lt;=3,1,IF(MONTH(A135)&lt;=5,2,IF(MONTH(A135)&lt;=8,3,4))))</f>
        <v/>
      </c>
      <c r="I135">
        <f>IF(A135="","",MONTH(A135))</f>
        <v/>
      </c>
    </row>
    <row r="136">
      <c r="A136" s="15" t="n"/>
      <c r="B136" s="16" t="n"/>
      <c r="C136" s="16" t="n"/>
      <c r="D136" s="16" t="n"/>
      <c r="E136" s="18" t="n"/>
      <c r="F136" s="16" t="n"/>
      <c r="G136">
        <f>IF(A136="","",YEAR(A136))</f>
        <v/>
      </c>
      <c r="H136">
        <f>IF(A136="","",IF(MONTH(A136)&lt;=3,1,IF(MONTH(A136)&lt;=5,2,IF(MONTH(A136)&lt;=8,3,4))))</f>
        <v/>
      </c>
      <c r="I136">
        <f>IF(A136="","",MONTH(A136))</f>
        <v/>
      </c>
    </row>
    <row r="137">
      <c r="A137" s="15" t="n"/>
      <c r="B137" s="16" t="n"/>
      <c r="C137" s="16" t="n"/>
      <c r="D137" s="16" t="n"/>
      <c r="E137" s="18" t="n"/>
      <c r="F137" s="16" t="n"/>
      <c r="G137">
        <f>IF(A137="","",YEAR(A137))</f>
        <v/>
      </c>
      <c r="H137">
        <f>IF(A137="","",IF(MONTH(A137)&lt;=3,1,IF(MONTH(A137)&lt;=5,2,IF(MONTH(A137)&lt;=8,3,4))))</f>
        <v/>
      </c>
      <c r="I137">
        <f>IF(A137="","",MONTH(A137))</f>
        <v/>
      </c>
    </row>
    <row r="138">
      <c r="A138" s="15" t="n"/>
      <c r="B138" s="16" t="n"/>
      <c r="C138" s="16" t="n"/>
      <c r="D138" s="16" t="n"/>
      <c r="E138" s="18" t="n"/>
      <c r="F138" s="16" t="n"/>
      <c r="G138">
        <f>IF(A138="","",YEAR(A138))</f>
        <v/>
      </c>
      <c r="H138">
        <f>IF(A138="","",IF(MONTH(A138)&lt;=3,1,IF(MONTH(A138)&lt;=5,2,IF(MONTH(A138)&lt;=8,3,4))))</f>
        <v/>
      </c>
      <c r="I138">
        <f>IF(A138="","",MONTH(A138))</f>
        <v/>
      </c>
    </row>
    <row r="139">
      <c r="A139" s="15" t="n"/>
      <c r="B139" s="16" t="n"/>
      <c r="C139" s="16" t="n"/>
      <c r="D139" s="16" t="n"/>
      <c r="E139" s="18" t="n"/>
      <c r="F139" s="16" t="n"/>
      <c r="G139">
        <f>IF(A139="","",YEAR(A139))</f>
        <v/>
      </c>
      <c r="H139">
        <f>IF(A139="","",IF(MONTH(A139)&lt;=3,1,IF(MONTH(A139)&lt;=5,2,IF(MONTH(A139)&lt;=8,3,4))))</f>
        <v/>
      </c>
      <c r="I139">
        <f>IF(A139="","",MONTH(A139))</f>
        <v/>
      </c>
    </row>
    <row r="140">
      <c r="A140" s="15" t="n"/>
      <c r="B140" s="16" t="n"/>
      <c r="C140" s="16" t="n"/>
      <c r="D140" s="16" t="n"/>
      <c r="E140" s="18" t="n"/>
      <c r="F140" s="16" t="n"/>
      <c r="G140">
        <f>IF(A140="","",YEAR(A140))</f>
        <v/>
      </c>
      <c r="H140">
        <f>IF(A140="","",IF(MONTH(A140)&lt;=3,1,IF(MONTH(A140)&lt;=5,2,IF(MONTH(A140)&lt;=8,3,4))))</f>
        <v/>
      </c>
      <c r="I140">
        <f>IF(A140="","",MONTH(A140))</f>
        <v/>
      </c>
    </row>
    <row r="141">
      <c r="A141" s="15" t="n"/>
      <c r="B141" s="16" t="n"/>
      <c r="C141" s="16" t="n"/>
      <c r="D141" s="16" t="n"/>
      <c r="E141" s="18" t="n"/>
      <c r="F141" s="16" t="n"/>
      <c r="G141">
        <f>IF(A141="","",YEAR(A141))</f>
        <v/>
      </c>
      <c r="H141">
        <f>IF(A141="","",IF(MONTH(A141)&lt;=3,1,IF(MONTH(A141)&lt;=5,2,IF(MONTH(A141)&lt;=8,3,4))))</f>
        <v/>
      </c>
      <c r="I141">
        <f>IF(A141="","",MONTH(A141))</f>
        <v/>
      </c>
    </row>
    <row r="142">
      <c r="A142" s="15" t="n"/>
      <c r="B142" s="16" t="n"/>
      <c r="C142" s="16" t="n"/>
      <c r="D142" s="16" t="n"/>
      <c r="E142" s="18" t="n"/>
      <c r="F142" s="16" t="n"/>
      <c r="G142">
        <f>IF(A142="","",YEAR(A142))</f>
        <v/>
      </c>
      <c r="H142">
        <f>IF(A142="","",IF(MONTH(A142)&lt;=3,1,IF(MONTH(A142)&lt;=5,2,IF(MONTH(A142)&lt;=8,3,4))))</f>
        <v/>
      </c>
      <c r="I142">
        <f>IF(A142="","",MONTH(A142))</f>
        <v/>
      </c>
    </row>
    <row r="143">
      <c r="A143" s="15" t="n"/>
      <c r="B143" s="16" t="n"/>
      <c r="C143" s="16" t="n"/>
      <c r="D143" s="16" t="n"/>
      <c r="E143" s="18" t="n"/>
      <c r="F143" s="16" t="n"/>
      <c r="G143">
        <f>IF(A143="","",YEAR(A143))</f>
        <v/>
      </c>
      <c r="H143">
        <f>IF(A143="","",IF(MONTH(A143)&lt;=3,1,IF(MONTH(A143)&lt;=5,2,IF(MONTH(A143)&lt;=8,3,4))))</f>
        <v/>
      </c>
      <c r="I143">
        <f>IF(A143="","",MONTH(A143))</f>
        <v/>
      </c>
    </row>
    <row r="144">
      <c r="A144" s="15" t="n"/>
      <c r="B144" s="16" t="n"/>
      <c r="C144" s="16" t="n"/>
      <c r="D144" s="16" t="n"/>
      <c r="E144" s="18" t="n"/>
      <c r="F144" s="16" t="n"/>
      <c r="G144">
        <f>IF(A144="","",YEAR(A144))</f>
        <v/>
      </c>
      <c r="H144">
        <f>IF(A144="","",IF(MONTH(A144)&lt;=3,1,IF(MONTH(A144)&lt;=5,2,IF(MONTH(A144)&lt;=8,3,4))))</f>
        <v/>
      </c>
      <c r="I144">
        <f>IF(A144="","",MONTH(A144))</f>
        <v/>
      </c>
    </row>
    <row r="145">
      <c r="A145" s="15" t="n"/>
      <c r="B145" s="16" t="n"/>
      <c r="C145" s="16" t="n"/>
      <c r="D145" s="16" t="n"/>
      <c r="E145" s="18" t="n"/>
      <c r="F145" s="16" t="n"/>
      <c r="G145">
        <f>IF(A145="","",YEAR(A145))</f>
        <v/>
      </c>
      <c r="H145">
        <f>IF(A145="","",IF(MONTH(A145)&lt;=3,1,IF(MONTH(A145)&lt;=5,2,IF(MONTH(A145)&lt;=8,3,4))))</f>
        <v/>
      </c>
      <c r="I145">
        <f>IF(A145="","",MONTH(A145))</f>
        <v/>
      </c>
    </row>
    <row r="146">
      <c r="A146" s="15" t="n"/>
      <c r="B146" s="16" t="n"/>
      <c r="C146" s="16" t="n"/>
      <c r="D146" s="16" t="n"/>
      <c r="E146" s="18" t="n"/>
      <c r="F146" s="16" t="n"/>
      <c r="G146">
        <f>IF(A146="","",YEAR(A146))</f>
        <v/>
      </c>
      <c r="H146">
        <f>IF(A146="","",IF(MONTH(A146)&lt;=3,1,IF(MONTH(A146)&lt;=5,2,IF(MONTH(A146)&lt;=8,3,4))))</f>
        <v/>
      </c>
      <c r="I146">
        <f>IF(A146="","",MONTH(A146))</f>
        <v/>
      </c>
    </row>
    <row r="147">
      <c r="A147" s="15" t="n"/>
      <c r="B147" s="16" t="n"/>
      <c r="C147" s="16" t="n"/>
      <c r="D147" s="16" t="n"/>
      <c r="E147" s="18" t="n"/>
      <c r="F147" s="16" t="n"/>
      <c r="G147">
        <f>IF(A147="","",YEAR(A147))</f>
        <v/>
      </c>
      <c r="H147">
        <f>IF(A147="","",IF(MONTH(A147)&lt;=3,1,IF(MONTH(A147)&lt;=5,2,IF(MONTH(A147)&lt;=8,3,4))))</f>
        <v/>
      </c>
      <c r="I147">
        <f>IF(A147="","",MONTH(A147))</f>
        <v/>
      </c>
    </row>
    <row r="148">
      <c r="A148" s="15" t="n"/>
      <c r="B148" s="16" t="n"/>
      <c r="C148" s="16" t="n"/>
      <c r="D148" s="16" t="n"/>
      <c r="E148" s="18" t="n"/>
      <c r="F148" s="16" t="n"/>
      <c r="G148">
        <f>IF(A148="","",YEAR(A148))</f>
        <v/>
      </c>
      <c r="H148">
        <f>IF(A148="","",IF(MONTH(A148)&lt;=3,1,IF(MONTH(A148)&lt;=5,2,IF(MONTH(A148)&lt;=8,3,4))))</f>
        <v/>
      </c>
      <c r="I148">
        <f>IF(A148="","",MONTH(A148))</f>
        <v/>
      </c>
    </row>
    <row r="149">
      <c r="A149" s="15" t="n"/>
      <c r="B149" s="16" t="n"/>
      <c r="C149" s="16" t="n"/>
      <c r="D149" s="16" t="n"/>
      <c r="E149" s="18" t="n"/>
      <c r="F149" s="16" t="n"/>
      <c r="G149">
        <f>IF(A149="","",YEAR(A149))</f>
        <v/>
      </c>
      <c r="H149">
        <f>IF(A149="","",IF(MONTH(A149)&lt;=3,1,IF(MONTH(A149)&lt;=5,2,IF(MONTH(A149)&lt;=8,3,4))))</f>
        <v/>
      </c>
      <c r="I149">
        <f>IF(A149="","",MONTH(A149))</f>
        <v/>
      </c>
    </row>
    <row r="150">
      <c r="A150" s="15" t="n"/>
      <c r="B150" s="16" t="n"/>
      <c r="C150" s="16" t="n"/>
      <c r="D150" s="16" t="n"/>
      <c r="E150" s="18" t="n"/>
      <c r="F150" s="16" t="n"/>
      <c r="G150">
        <f>IF(A150="","",YEAR(A150))</f>
        <v/>
      </c>
      <c r="H150">
        <f>IF(A150="","",IF(MONTH(A150)&lt;=3,1,IF(MONTH(A150)&lt;=5,2,IF(MONTH(A150)&lt;=8,3,4))))</f>
        <v/>
      </c>
      <c r="I150">
        <f>IF(A150="","",MONTH(A150))</f>
        <v/>
      </c>
    </row>
    <row r="151">
      <c r="A151" s="15" t="n"/>
      <c r="B151" s="16" t="n"/>
      <c r="C151" s="16" t="n"/>
      <c r="D151" s="16" t="n"/>
      <c r="E151" s="18" t="n"/>
      <c r="F151" s="16" t="n"/>
      <c r="G151">
        <f>IF(A151="","",YEAR(A151))</f>
        <v/>
      </c>
      <c r="H151">
        <f>IF(A151="","",IF(MONTH(A151)&lt;=3,1,IF(MONTH(A151)&lt;=5,2,IF(MONTH(A151)&lt;=8,3,4))))</f>
        <v/>
      </c>
      <c r="I151">
        <f>IF(A151="","",MONTH(A151))</f>
        <v/>
      </c>
    </row>
    <row r="152">
      <c r="A152" s="15" t="n"/>
      <c r="B152" s="16" t="n"/>
      <c r="C152" s="16" t="n"/>
      <c r="D152" s="16" t="n"/>
      <c r="E152" s="18" t="n"/>
      <c r="F152" s="16" t="n"/>
      <c r="G152">
        <f>IF(A152="","",YEAR(A152))</f>
        <v/>
      </c>
      <c r="H152">
        <f>IF(A152="","",IF(MONTH(A152)&lt;=3,1,IF(MONTH(A152)&lt;=5,2,IF(MONTH(A152)&lt;=8,3,4))))</f>
        <v/>
      </c>
      <c r="I152">
        <f>IF(A152="","",MONTH(A152))</f>
        <v/>
      </c>
    </row>
    <row r="153">
      <c r="A153" s="15" t="n"/>
      <c r="B153" s="16" t="n"/>
      <c r="C153" s="16" t="n"/>
      <c r="D153" s="16" t="n"/>
      <c r="E153" s="18" t="n"/>
      <c r="F153" s="16" t="n"/>
      <c r="G153">
        <f>IF(A153="","",YEAR(A153))</f>
        <v/>
      </c>
      <c r="H153">
        <f>IF(A153="","",IF(MONTH(A153)&lt;=3,1,IF(MONTH(A153)&lt;=5,2,IF(MONTH(A153)&lt;=8,3,4))))</f>
        <v/>
      </c>
      <c r="I153">
        <f>IF(A153="","",MONTH(A153))</f>
        <v/>
      </c>
    </row>
    <row r="154">
      <c r="A154" s="15" t="n"/>
      <c r="B154" s="16" t="n"/>
      <c r="C154" s="16" t="n"/>
      <c r="D154" s="16" t="n"/>
      <c r="E154" s="18" t="n"/>
      <c r="F154" s="16" t="n"/>
      <c r="G154">
        <f>IF(A154="","",YEAR(A154))</f>
        <v/>
      </c>
      <c r="H154">
        <f>IF(A154="","",IF(MONTH(A154)&lt;=3,1,IF(MONTH(A154)&lt;=5,2,IF(MONTH(A154)&lt;=8,3,4))))</f>
        <v/>
      </c>
      <c r="I154">
        <f>IF(A154="","",MONTH(A154))</f>
        <v/>
      </c>
    </row>
    <row r="155">
      <c r="A155" s="15" t="n"/>
      <c r="B155" s="16" t="n"/>
      <c r="C155" s="16" t="n"/>
      <c r="D155" s="16" t="n"/>
      <c r="E155" s="18" t="n"/>
      <c r="F155" s="16" t="n"/>
      <c r="G155">
        <f>IF(A155="","",YEAR(A155))</f>
        <v/>
      </c>
      <c r="H155">
        <f>IF(A155="","",IF(MONTH(A155)&lt;=3,1,IF(MONTH(A155)&lt;=5,2,IF(MONTH(A155)&lt;=8,3,4))))</f>
        <v/>
      </c>
      <c r="I155">
        <f>IF(A155="","",MONTH(A155))</f>
        <v/>
      </c>
    </row>
    <row r="156">
      <c r="A156" s="15" t="n"/>
      <c r="B156" s="16" t="n"/>
      <c r="C156" s="16" t="n"/>
      <c r="D156" s="16" t="n"/>
      <c r="E156" s="18" t="n"/>
      <c r="F156" s="16" t="n"/>
      <c r="G156">
        <f>IF(A156="","",YEAR(A156))</f>
        <v/>
      </c>
      <c r="H156">
        <f>IF(A156="","",IF(MONTH(A156)&lt;=3,1,IF(MONTH(A156)&lt;=5,2,IF(MONTH(A156)&lt;=8,3,4))))</f>
        <v/>
      </c>
      <c r="I156">
        <f>IF(A156="","",MONTH(A156))</f>
        <v/>
      </c>
    </row>
    <row r="157">
      <c r="A157" s="15" t="n"/>
      <c r="B157" s="16" t="n"/>
      <c r="C157" s="16" t="n"/>
      <c r="D157" s="16" t="n"/>
      <c r="E157" s="18" t="n"/>
      <c r="F157" s="16" t="n"/>
      <c r="G157">
        <f>IF(A157="","",YEAR(A157))</f>
        <v/>
      </c>
      <c r="H157">
        <f>IF(A157="","",IF(MONTH(A157)&lt;=3,1,IF(MONTH(A157)&lt;=5,2,IF(MONTH(A157)&lt;=8,3,4))))</f>
        <v/>
      </c>
      <c r="I157">
        <f>IF(A157="","",MONTH(A157))</f>
        <v/>
      </c>
    </row>
    <row r="158">
      <c r="A158" s="15" t="n"/>
      <c r="B158" s="16" t="n"/>
      <c r="C158" s="16" t="n"/>
      <c r="D158" s="16" t="n"/>
      <c r="E158" s="18" t="n"/>
      <c r="F158" s="16" t="n"/>
      <c r="G158">
        <f>IF(A158="","",YEAR(A158))</f>
        <v/>
      </c>
      <c r="H158">
        <f>IF(A158="","",IF(MONTH(A158)&lt;=3,1,IF(MONTH(A158)&lt;=5,2,IF(MONTH(A158)&lt;=8,3,4))))</f>
        <v/>
      </c>
      <c r="I158">
        <f>IF(A158="","",MONTH(A158))</f>
        <v/>
      </c>
    </row>
    <row r="159">
      <c r="A159" s="15" t="n"/>
      <c r="B159" s="16" t="n"/>
      <c r="C159" s="16" t="n"/>
      <c r="D159" s="16" t="n"/>
      <c r="E159" s="18" t="n"/>
      <c r="F159" s="16" t="n"/>
      <c r="G159">
        <f>IF(A159="","",YEAR(A159))</f>
        <v/>
      </c>
      <c r="H159">
        <f>IF(A159="","",IF(MONTH(A159)&lt;=3,1,IF(MONTH(A159)&lt;=5,2,IF(MONTH(A159)&lt;=8,3,4))))</f>
        <v/>
      </c>
      <c r="I159">
        <f>IF(A159="","",MONTH(A159))</f>
        <v/>
      </c>
    </row>
    <row r="160">
      <c r="A160" s="15" t="n"/>
      <c r="B160" s="16" t="n"/>
      <c r="C160" s="16" t="n"/>
      <c r="D160" s="16" t="n"/>
      <c r="E160" s="18" t="n"/>
      <c r="F160" s="16" t="n"/>
      <c r="G160">
        <f>IF(A160="","",YEAR(A160))</f>
        <v/>
      </c>
      <c r="H160">
        <f>IF(A160="","",IF(MONTH(A160)&lt;=3,1,IF(MONTH(A160)&lt;=5,2,IF(MONTH(A160)&lt;=8,3,4))))</f>
        <v/>
      </c>
      <c r="I160">
        <f>IF(A160="","",MONTH(A160))</f>
        <v/>
      </c>
    </row>
    <row r="161">
      <c r="A161" s="15" t="n"/>
      <c r="B161" s="16" t="n"/>
      <c r="C161" s="16" t="n"/>
      <c r="D161" s="16" t="n"/>
      <c r="E161" s="18" t="n"/>
      <c r="F161" s="16" t="n"/>
      <c r="G161">
        <f>IF(A161="","",YEAR(A161))</f>
        <v/>
      </c>
      <c r="H161">
        <f>IF(A161="","",IF(MONTH(A161)&lt;=3,1,IF(MONTH(A161)&lt;=5,2,IF(MONTH(A161)&lt;=8,3,4))))</f>
        <v/>
      </c>
      <c r="I161">
        <f>IF(A161="","",MONTH(A161))</f>
        <v/>
      </c>
    </row>
    <row r="162">
      <c r="A162" s="15" t="n"/>
      <c r="B162" s="16" t="n"/>
      <c r="C162" s="16" t="n"/>
      <c r="D162" s="16" t="n"/>
      <c r="E162" s="18" t="n"/>
      <c r="F162" s="16" t="n"/>
      <c r="G162">
        <f>IF(A162="","",YEAR(A162))</f>
        <v/>
      </c>
      <c r="H162">
        <f>IF(A162="","",IF(MONTH(A162)&lt;=3,1,IF(MONTH(A162)&lt;=5,2,IF(MONTH(A162)&lt;=8,3,4))))</f>
        <v/>
      </c>
      <c r="I162">
        <f>IF(A162="","",MONTH(A162))</f>
        <v/>
      </c>
    </row>
    <row r="163">
      <c r="A163" s="15" t="n"/>
      <c r="B163" s="16" t="n"/>
      <c r="C163" s="16" t="n"/>
      <c r="D163" s="16" t="n"/>
      <c r="E163" s="18" t="n"/>
      <c r="F163" s="16" t="n"/>
      <c r="G163">
        <f>IF(A163="","",YEAR(A163))</f>
        <v/>
      </c>
      <c r="H163">
        <f>IF(A163="","",IF(MONTH(A163)&lt;=3,1,IF(MONTH(A163)&lt;=5,2,IF(MONTH(A163)&lt;=8,3,4))))</f>
        <v/>
      </c>
      <c r="I163">
        <f>IF(A163="","",MONTH(A163))</f>
        <v/>
      </c>
    </row>
    <row r="164">
      <c r="A164" s="15" t="n"/>
      <c r="B164" s="16" t="n"/>
      <c r="C164" s="16" t="n"/>
      <c r="D164" s="16" t="n"/>
      <c r="E164" s="18" t="n"/>
      <c r="F164" s="16" t="n"/>
      <c r="G164">
        <f>IF(A164="","",YEAR(A164))</f>
        <v/>
      </c>
      <c r="H164">
        <f>IF(A164="","",IF(MONTH(A164)&lt;=3,1,IF(MONTH(A164)&lt;=5,2,IF(MONTH(A164)&lt;=8,3,4))))</f>
        <v/>
      </c>
      <c r="I164">
        <f>IF(A164="","",MONTH(A164))</f>
        <v/>
      </c>
    </row>
    <row r="165">
      <c r="A165" s="15" t="n"/>
      <c r="B165" s="16" t="n"/>
      <c r="C165" s="16" t="n"/>
      <c r="D165" s="16" t="n"/>
      <c r="E165" s="18" t="n"/>
      <c r="F165" s="16" t="n"/>
      <c r="G165">
        <f>IF(A165="","",YEAR(A165))</f>
        <v/>
      </c>
      <c r="H165">
        <f>IF(A165="","",IF(MONTH(A165)&lt;=3,1,IF(MONTH(A165)&lt;=5,2,IF(MONTH(A165)&lt;=8,3,4))))</f>
        <v/>
      </c>
      <c r="I165">
        <f>IF(A165="","",MONTH(A165))</f>
        <v/>
      </c>
    </row>
    <row r="166">
      <c r="A166" s="15" t="n"/>
      <c r="B166" s="16" t="n"/>
      <c r="C166" s="16" t="n"/>
      <c r="D166" s="16" t="n"/>
      <c r="E166" s="18" t="n"/>
      <c r="F166" s="16" t="n"/>
      <c r="G166">
        <f>IF(A166="","",YEAR(A166))</f>
        <v/>
      </c>
      <c r="H166">
        <f>IF(A166="","",IF(MONTH(A166)&lt;=3,1,IF(MONTH(A166)&lt;=5,2,IF(MONTH(A166)&lt;=8,3,4))))</f>
        <v/>
      </c>
      <c r="I166">
        <f>IF(A166="","",MONTH(A166))</f>
        <v/>
      </c>
    </row>
    <row r="167">
      <c r="A167" s="15" t="n"/>
      <c r="B167" s="16" t="n"/>
      <c r="C167" s="16" t="n"/>
      <c r="D167" s="16" t="n"/>
      <c r="E167" s="18" t="n"/>
      <c r="F167" s="16" t="n"/>
      <c r="G167">
        <f>IF(A167="","",YEAR(A167))</f>
        <v/>
      </c>
      <c r="H167">
        <f>IF(A167="","",IF(MONTH(A167)&lt;=3,1,IF(MONTH(A167)&lt;=5,2,IF(MONTH(A167)&lt;=8,3,4))))</f>
        <v/>
      </c>
      <c r="I167">
        <f>IF(A167="","",MONTH(A167))</f>
        <v/>
      </c>
    </row>
    <row r="168">
      <c r="A168" s="15" t="n"/>
      <c r="B168" s="16" t="n"/>
      <c r="C168" s="16" t="n"/>
      <c r="D168" s="16" t="n"/>
      <c r="E168" s="18" t="n"/>
      <c r="F168" s="16" t="n"/>
      <c r="G168">
        <f>IF(A168="","",YEAR(A168))</f>
        <v/>
      </c>
      <c r="H168">
        <f>IF(A168="","",IF(MONTH(A168)&lt;=3,1,IF(MONTH(A168)&lt;=5,2,IF(MONTH(A168)&lt;=8,3,4))))</f>
        <v/>
      </c>
      <c r="I168">
        <f>IF(A168="","",MONTH(A168))</f>
        <v/>
      </c>
    </row>
    <row r="169">
      <c r="A169" s="15" t="n"/>
      <c r="B169" s="16" t="n"/>
      <c r="C169" s="16" t="n"/>
      <c r="D169" s="16" t="n"/>
      <c r="E169" s="18" t="n"/>
      <c r="F169" s="16" t="n"/>
      <c r="G169">
        <f>IF(A169="","",YEAR(A169))</f>
        <v/>
      </c>
      <c r="H169">
        <f>IF(A169="","",IF(MONTH(A169)&lt;=3,1,IF(MONTH(A169)&lt;=5,2,IF(MONTH(A169)&lt;=8,3,4))))</f>
        <v/>
      </c>
      <c r="I169">
        <f>IF(A169="","",MONTH(A169))</f>
        <v/>
      </c>
    </row>
    <row r="170">
      <c r="A170" s="15" t="n"/>
      <c r="B170" s="16" t="n"/>
      <c r="C170" s="16" t="n"/>
      <c r="D170" s="16" t="n"/>
      <c r="E170" s="18" t="n"/>
      <c r="F170" s="16" t="n"/>
      <c r="G170">
        <f>IF(A170="","",YEAR(A170))</f>
        <v/>
      </c>
      <c r="H170">
        <f>IF(A170="","",IF(MONTH(A170)&lt;=3,1,IF(MONTH(A170)&lt;=5,2,IF(MONTH(A170)&lt;=8,3,4))))</f>
        <v/>
      </c>
      <c r="I170">
        <f>IF(A170="","",MONTH(A170))</f>
        <v/>
      </c>
    </row>
    <row r="171">
      <c r="A171" s="15" t="n"/>
      <c r="B171" s="16" t="n"/>
      <c r="C171" s="16" t="n"/>
      <c r="D171" s="16" t="n"/>
      <c r="E171" s="18" t="n"/>
      <c r="F171" s="16" t="n"/>
      <c r="G171">
        <f>IF(A171="","",YEAR(A171))</f>
        <v/>
      </c>
      <c r="H171">
        <f>IF(A171="","",IF(MONTH(A171)&lt;=3,1,IF(MONTH(A171)&lt;=5,2,IF(MONTH(A171)&lt;=8,3,4))))</f>
        <v/>
      </c>
      <c r="I171">
        <f>IF(A171="","",MONTH(A171))</f>
        <v/>
      </c>
    </row>
    <row r="172">
      <c r="A172" s="15" t="n"/>
      <c r="B172" s="16" t="n"/>
      <c r="C172" s="16" t="n"/>
      <c r="D172" s="16" t="n"/>
      <c r="E172" s="18" t="n"/>
      <c r="F172" s="16" t="n"/>
      <c r="G172">
        <f>IF(A172="","",YEAR(A172))</f>
        <v/>
      </c>
      <c r="H172">
        <f>IF(A172="","",IF(MONTH(A172)&lt;=3,1,IF(MONTH(A172)&lt;=5,2,IF(MONTH(A172)&lt;=8,3,4))))</f>
        <v/>
      </c>
      <c r="I172">
        <f>IF(A172="","",MONTH(A172))</f>
        <v/>
      </c>
    </row>
    <row r="173">
      <c r="A173" s="15" t="n"/>
      <c r="B173" s="16" t="n"/>
      <c r="C173" s="16" t="n"/>
      <c r="D173" s="16" t="n"/>
      <c r="E173" s="18" t="n"/>
      <c r="F173" s="16" t="n"/>
      <c r="G173">
        <f>IF(A173="","",YEAR(A173))</f>
        <v/>
      </c>
      <c r="H173">
        <f>IF(A173="","",IF(MONTH(A173)&lt;=3,1,IF(MONTH(A173)&lt;=5,2,IF(MONTH(A173)&lt;=8,3,4))))</f>
        <v/>
      </c>
      <c r="I173">
        <f>IF(A173="","",MONTH(A173))</f>
        <v/>
      </c>
    </row>
    <row r="174">
      <c r="A174" s="15" t="n"/>
      <c r="B174" s="16" t="n"/>
      <c r="C174" s="16" t="n"/>
      <c r="D174" s="16" t="n"/>
      <c r="E174" s="18" t="n"/>
      <c r="F174" s="16" t="n"/>
      <c r="G174">
        <f>IF(A174="","",YEAR(A174))</f>
        <v/>
      </c>
      <c r="H174">
        <f>IF(A174="","",IF(MONTH(A174)&lt;=3,1,IF(MONTH(A174)&lt;=5,2,IF(MONTH(A174)&lt;=8,3,4))))</f>
        <v/>
      </c>
      <c r="I174">
        <f>IF(A174="","",MONTH(A174))</f>
        <v/>
      </c>
    </row>
    <row r="175">
      <c r="A175" s="15" t="n"/>
      <c r="B175" s="16" t="n"/>
      <c r="C175" s="16" t="n"/>
      <c r="D175" s="16" t="n"/>
      <c r="E175" s="18" t="n"/>
      <c r="F175" s="16" t="n"/>
      <c r="G175">
        <f>IF(A175="","",YEAR(A175))</f>
        <v/>
      </c>
      <c r="H175">
        <f>IF(A175="","",IF(MONTH(A175)&lt;=3,1,IF(MONTH(A175)&lt;=5,2,IF(MONTH(A175)&lt;=8,3,4))))</f>
        <v/>
      </c>
      <c r="I175">
        <f>IF(A175="","",MONTH(A175))</f>
        <v/>
      </c>
    </row>
    <row r="176">
      <c r="A176" s="15" t="n"/>
      <c r="B176" s="16" t="n"/>
      <c r="C176" s="16" t="n"/>
      <c r="D176" s="16" t="n"/>
      <c r="E176" s="18" t="n"/>
      <c r="F176" s="16" t="n"/>
      <c r="G176">
        <f>IF(A176="","",YEAR(A176))</f>
        <v/>
      </c>
      <c r="H176">
        <f>IF(A176="","",IF(MONTH(A176)&lt;=3,1,IF(MONTH(A176)&lt;=5,2,IF(MONTH(A176)&lt;=8,3,4))))</f>
        <v/>
      </c>
      <c r="I176">
        <f>IF(A176="","",MONTH(A176))</f>
        <v/>
      </c>
    </row>
    <row r="177">
      <c r="A177" s="15" t="n"/>
      <c r="B177" s="16" t="n"/>
      <c r="C177" s="16" t="n"/>
      <c r="D177" s="16" t="n"/>
      <c r="E177" s="18" t="n"/>
      <c r="F177" s="16" t="n"/>
      <c r="G177">
        <f>IF(A177="","",YEAR(A177))</f>
        <v/>
      </c>
      <c r="H177">
        <f>IF(A177="","",IF(MONTH(A177)&lt;=3,1,IF(MONTH(A177)&lt;=5,2,IF(MONTH(A177)&lt;=8,3,4))))</f>
        <v/>
      </c>
      <c r="I177">
        <f>IF(A177="","",MONTH(A177))</f>
        <v/>
      </c>
    </row>
    <row r="178">
      <c r="A178" s="15" t="n"/>
      <c r="B178" s="16" t="n"/>
      <c r="C178" s="16" t="n"/>
      <c r="D178" s="16" t="n"/>
      <c r="E178" s="18" t="n"/>
      <c r="F178" s="16" t="n"/>
      <c r="G178">
        <f>IF(A178="","",YEAR(A178))</f>
        <v/>
      </c>
      <c r="H178">
        <f>IF(A178="","",IF(MONTH(A178)&lt;=3,1,IF(MONTH(A178)&lt;=5,2,IF(MONTH(A178)&lt;=8,3,4))))</f>
        <v/>
      </c>
      <c r="I178">
        <f>IF(A178="","",MONTH(A178))</f>
        <v/>
      </c>
    </row>
    <row r="179">
      <c r="A179" s="15" t="n"/>
      <c r="B179" s="16" t="n"/>
      <c r="C179" s="16" t="n"/>
      <c r="D179" s="16" t="n"/>
      <c r="E179" s="18" t="n"/>
      <c r="F179" s="16" t="n"/>
      <c r="G179">
        <f>IF(A179="","",YEAR(A179))</f>
        <v/>
      </c>
      <c r="H179">
        <f>IF(A179="","",IF(MONTH(A179)&lt;=3,1,IF(MONTH(A179)&lt;=5,2,IF(MONTH(A179)&lt;=8,3,4))))</f>
        <v/>
      </c>
      <c r="I179">
        <f>IF(A179="","",MONTH(A179))</f>
        <v/>
      </c>
    </row>
    <row r="180">
      <c r="A180" s="15" t="n"/>
      <c r="B180" s="16" t="n"/>
      <c r="C180" s="16" t="n"/>
      <c r="D180" s="16" t="n"/>
      <c r="E180" s="18" t="n"/>
      <c r="F180" s="16" t="n"/>
      <c r="G180">
        <f>IF(A180="","",YEAR(A180))</f>
        <v/>
      </c>
      <c r="H180">
        <f>IF(A180="","",IF(MONTH(A180)&lt;=3,1,IF(MONTH(A180)&lt;=5,2,IF(MONTH(A180)&lt;=8,3,4))))</f>
        <v/>
      </c>
      <c r="I180">
        <f>IF(A180="","",MONTH(A180))</f>
        <v/>
      </c>
    </row>
    <row r="181">
      <c r="A181" s="15" t="n"/>
      <c r="B181" s="16" t="n"/>
      <c r="C181" s="16" t="n"/>
      <c r="D181" s="16" t="n"/>
      <c r="E181" s="18" t="n"/>
      <c r="F181" s="16" t="n"/>
      <c r="G181">
        <f>IF(A181="","",YEAR(A181))</f>
        <v/>
      </c>
      <c r="H181">
        <f>IF(A181="","",IF(MONTH(A181)&lt;=3,1,IF(MONTH(A181)&lt;=5,2,IF(MONTH(A181)&lt;=8,3,4))))</f>
        <v/>
      </c>
      <c r="I181">
        <f>IF(A181="","",MONTH(A181))</f>
        <v/>
      </c>
    </row>
    <row r="182">
      <c r="A182" s="15" t="n"/>
      <c r="B182" s="16" t="n"/>
      <c r="C182" s="16" t="n"/>
      <c r="D182" s="16" t="n"/>
      <c r="E182" s="18" t="n"/>
      <c r="F182" s="16" t="n"/>
      <c r="G182">
        <f>IF(A182="","",YEAR(A182))</f>
        <v/>
      </c>
      <c r="H182">
        <f>IF(A182="","",IF(MONTH(A182)&lt;=3,1,IF(MONTH(A182)&lt;=5,2,IF(MONTH(A182)&lt;=8,3,4))))</f>
        <v/>
      </c>
      <c r="I182">
        <f>IF(A182="","",MONTH(A182))</f>
        <v/>
      </c>
    </row>
    <row r="183">
      <c r="A183" s="15" t="n"/>
      <c r="B183" s="16" t="n"/>
      <c r="C183" s="16" t="n"/>
      <c r="D183" s="16" t="n"/>
      <c r="E183" s="18" t="n"/>
      <c r="F183" s="16" t="n"/>
      <c r="G183">
        <f>IF(A183="","",YEAR(A183))</f>
        <v/>
      </c>
      <c r="H183">
        <f>IF(A183="","",IF(MONTH(A183)&lt;=3,1,IF(MONTH(A183)&lt;=5,2,IF(MONTH(A183)&lt;=8,3,4))))</f>
        <v/>
      </c>
      <c r="I183">
        <f>IF(A183="","",MONTH(A183))</f>
        <v/>
      </c>
    </row>
    <row r="184">
      <c r="A184" s="15" t="n"/>
      <c r="B184" s="16" t="n"/>
      <c r="C184" s="16" t="n"/>
      <c r="D184" s="16" t="n"/>
      <c r="E184" s="18" t="n"/>
      <c r="F184" s="16" t="n"/>
      <c r="G184">
        <f>IF(A184="","",YEAR(A184))</f>
        <v/>
      </c>
      <c r="H184">
        <f>IF(A184="","",IF(MONTH(A184)&lt;=3,1,IF(MONTH(A184)&lt;=5,2,IF(MONTH(A184)&lt;=8,3,4))))</f>
        <v/>
      </c>
      <c r="I184">
        <f>IF(A184="","",MONTH(A184))</f>
        <v/>
      </c>
    </row>
    <row r="185">
      <c r="A185" s="15" t="n"/>
      <c r="B185" s="16" t="n"/>
      <c r="C185" s="16" t="n"/>
      <c r="D185" s="16" t="n"/>
      <c r="E185" s="18" t="n"/>
      <c r="F185" s="16" t="n"/>
      <c r="G185">
        <f>IF(A185="","",YEAR(A185))</f>
        <v/>
      </c>
      <c r="H185">
        <f>IF(A185="","",IF(MONTH(A185)&lt;=3,1,IF(MONTH(A185)&lt;=5,2,IF(MONTH(A185)&lt;=8,3,4))))</f>
        <v/>
      </c>
      <c r="I185">
        <f>IF(A185="","",MONTH(A185))</f>
        <v/>
      </c>
    </row>
    <row r="186">
      <c r="A186" s="15" t="n"/>
      <c r="B186" s="16" t="n"/>
      <c r="C186" s="16" t="n"/>
      <c r="D186" s="16" t="n"/>
      <c r="E186" s="18" t="n"/>
      <c r="F186" s="16" t="n"/>
      <c r="G186">
        <f>IF(A186="","",YEAR(A186))</f>
        <v/>
      </c>
      <c r="H186">
        <f>IF(A186="","",IF(MONTH(A186)&lt;=3,1,IF(MONTH(A186)&lt;=5,2,IF(MONTH(A186)&lt;=8,3,4))))</f>
        <v/>
      </c>
      <c r="I186">
        <f>IF(A186="","",MONTH(A186))</f>
        <v/>
      </c>
    </row>
    <row r="187">
      <c r="A187" s="15" t="n"/>
      <c r="B187" s="16" t="n"/>
      <c r="C187" s="16" t="n"/>
      <c r="D187" s="16" t="n"/>
      <c r="E187" s="18" t="n"/>
      <c r="F187" s="16" t="n"/>
      <c r="G187">
        <f>IF(A187="","",YEAR(A187))</f>
        <v/>
      </c>
      <c r="H187">
        <f>IF(A187="","",IF(MONTH(A187)&lt;=3,1,IF(MONTH(A187)&lt;=5,2,IF(MONTH(A187)&lt;=8,3,4))))</f>
        <v/>
      </c>
      <c r="I187">
        <f>IF(A187="","",MONTH(A187))</f>
        <v/>
      </c>
    </row>
    <row r="188">
      <c r="A188" s="15" t="n"/>
      <c r="B188" s="16" t="n"/>
      <c r="C188" s="16" t="n"/>
      <c r="D188" s="16" t="n"/>
      <c r="E188" s="18" t="n"/>
      <c r="F188" s="16" t="n"/>
      <c r="G188">
        <f>IF(A188="","",YEAR(A188))</f>
        <v/>
      </c>
      <c r="H188">
        <f>IF(A188="","",IF(MONTH(A188)&lt;=3,1,IF(MONTH(A188)&lt;=5,2,IF(MONTH(A188)&lt;=8,3,4))))</f>
        <v/>
      </c>
      <c r="I188">
        <f>IF(A188="","",MONTH(A188))</f>
        <v/>
      </c>
    </row>
    <row r="189">
      <c r="A189" s="15" t="n"/>
      <c r="B189" s="16" t="n"/>
      <c r="C189" s="16" t="n"/>
      <c r="D189" s="16" t="n"/>
      <c r="E189" s="18" t="n"/>
      <c r="F189" s="16" t="n"/>
      <c r="G189">
        <f>IF(A189="","",YEAR(A189))</f>
        <v/>
      </c>
      <c r="H189">
        <f>IF(A189="","",IF(MONTH(A189)&lt;=3,1,IF(MONTH(A189)&lt;=5,2,IF(MONTH(A189)&lt;=8,3,4))))</f>
        <v/>
      </c>
      <c r="I189">
        <f>IF(A189="","",MONTH(A189))</f>
        <v/>
      </c>
    </row>
    <row r="190">
      <c r="A190" s="15" t="n"/>
      <c r="B190" s="16" t="n"/>
      <c r="C190" s="16" t="n"/>
      <c r="D190" s="16" t="n"/>
      <c r="E190" s="18" t="n"/>
      <c r="F190" s="16" t="n"/>
      <c r="G190">
        <f>IF(A190="","",YEAR(A190))</f>
        <v/>
      </c>
      <c r="H190">
        <f>IF(A190="","",IF(MONTH(A190)&lt;=3,1,IF(MONTH(A190)&lt;=5,2,IF(MONTH(A190)&lt;=8,3,4))))</f>
        <v/>
      </c>
      <c r="I190">
        <f>IF(A190="","",MONTH(A190))</f>
        <v/>
      </c>
    </row>
    <row r="191">
      <c r="A191" s="15" t="n"/>
      <c r="B191" s="16" t="n"/>
      <c r="C191" s="16" t="n"/>
      <c r="D191" s="16" t="n"/>
      <c r="E191" s="18" t="n"/>
      <c r="F191" s="16" t="n"/>
      <c r="G191">
        <f>IF(A191="","",YEAR(A191))</f>
        <v/>
      </c>
      <c r="H191">
        <f>IF(A191="","",IF(MONTH(A191)&lt;=3,1,IF(MONTH(A191)&lt;=5,2,IF(MONTH(A191)&lt;=8,3,4))))</f>
        <v/>
      </c>
      <c r="I191">
        <f>IF(A191="","",MONTH(A191))</f>
        <v/>
      </c>
    </row>
    <row r="192">
      <c r="A192" s="15" t="n"/>
      <c r="B192" s="16" t="n"/>
      <c r="C192" s="16" t="n"/>
      <c r="D192" s="16" t="n"/>
      <c r="E192" s="18" t="n"/>
      <c r="F192" s="16" t="n"/>
      <c r="G192">
        <f>IF(A192="","",YEAR(A192))</f>
        <v/>
      </c>
      <c r="H192">
        <f>IF(A192="","",IF(MONTH(A192)&lt;=3,1,IF(MONTH(A192)&lt;=5,2,IF(MONTH(A192)&lt;=8,3,4))))</f>
        <v/>
      </c>
      <c r="I192">
        <f>IF(A192="","",MONTH(A192))</f>
        <v/>
      </c>
    </row>
    <row r="193">
      <c r="A193" s="15" t="n"/>
      <c r="B193" s="16" t="n"/>
      <c r="C193" s="16" t="n"/>
      <c r="D193" s="16" t="n"/>
      <c r="E193" s="18" t="n"/>
      <c r="F193" s="16" t="n"/>
      <c r="G193">
        <f>IF(A193="","",YEAR(A193))</f>
        <v/>
      </c>
      <c r="H193">
        <f>IF(A193="","",IF(MONTH(A193)&lt;=3,1,IF(MONTH(A193)&lt;=5,2,IF(MONTH(A193)&lt;=8,3,4))))</f>
        <v/>
      </c>
      <c r="I193">
        <f>IF(A193="","",MONTH(A193))</f>
        <v/>
      </c>
    </row>
    <row r="194">
      <c r="A194" s="15" t="n"/>
      <c r="B194" s="16" t="n"/>
      <c r="C194" s="16" t="n"/>
      <c r="D194" s="16" t="n"/>
      <c r="E194" s="18" t="n"/>
      <c r="F194" s="16" t="n"/>
      <c r="G194">
        <f>IF(A194="","",YEAR(A194))</f>
        <v/>
      </c>
      <c r="H194">
        <f>IF(A194="","",IF(MONTH(A194)&lt;=3,1,IF(MONTH(A194)&lt;=5,2,IF(MONTH(A194)&lt;=8,3,4))))</f>
        <v/>
      </c>
      <c r="I194">
        <f>IF(A194="","",MONTH(A194))</f>
        <v/>
      </c>
    </row>
    <row r="195">
      <c r="A195" s="15" t="n"/>
      <c r="B195" s="16" t="n"/>
      <c r="C195" s="16" t="n"/>
      <c r="D195" s="16" t="n"/>
      <c r="E195" s="18" t="n"/>
      <c r="F195" s="16" t="n"/>
      <c r="G195">
        <f>IF(A195="","",YEAR(A195))</f>
        <v/>
      </c>
      <c r="H195">
        <f>IF(A195="","",IF(MONTH(A195)&lt;=3,1,IF(MONTH(A195)&lt;=5,2,IF(MONTH(A195)&lt;=8,3,4))))</f>
        <v/>
      </c>
      <c r="I195">
        <f>IF(A195="","",MONTH(A195))</f>
        <v/>
      </c>
    </row>
    <row r="196">
      <c r="A196" s="15" t="n"/>
      <c r="B196" s="16" t="n"/>
      <c r="C196" s="16" t="n"/>
      <c r="D196" s="16" t="n"/>
      <c r="E196" s="18" t="n"/>
      <c r="F196" s="16" t="n"/>
      <c r="G196">
        <f>IF(A196="","",YEAR(A196))</f>
        <v/>
      </c>
      <c r="H196">
        <f>IF(A196="","",IF(MONTH(A196)&lt;=3,1,IF(MONTH(A196)&lt;=5,2,IF(MONTH(A196)&lt;=8,3,4))))</f>
        <v/>
      </c>
      <c r="I196">
        <f>IF(A196="","",MONTH(A196))</f>
        <v/>
      </c>
    </row>
    <row r="197">
      <c r="A197" s="15" t="n"/>
      <c r="B197" s="16" t="n"/>
      <c r="C197" s="16" t="n"/>
      <c r="D197" s="16" t="n"/>
      <c r="E197" s="18" t="n"/>
      <c r="F197" s="16" t="n"/>
      <c r="G197">
        <f>IF(A197="","",YEAR(A197))</f>
        <v/>
      </c>
      <c r="H197">
        <f>IF(A197="","",IF(MONTH(A197)&lt;=3,1,IF(MONTH(A197)&lt;=5,2,IF(MONTH(A197)&lt;=8,3,4))))</f>
        <v/>
      </c>
      <c r="I197">
        <f>IF(A197="","",MONTH(A197))</f>
        <v/>
      </c>
    </row>
    <row r="198">
      <c r="A198" s="15" t="n"/>
      <c r="B198" s="16" t="n"/>
      <c r="C198" s="16" t="n"/>
      <c r="D198" s="16" t="n"/>
      <c r="E198" s="18" t="n"/>
      <c r="F198" s="16" t="n"/>
      <c r="G198">
        <f>IF(A198="","",YEAR(A198))</f>
        <v/>
      </c>
      <c r="H198">
        <f>IF(A198="","",IF(MONTH(A198)&lt;=3,1,IF(MONTH(A198)&lt;=5,2,IF(MONTH(A198)&lt;=8,3,4))))</f>
        <v/>
      </c>
      <c r="I198">
        <f>IF(A198="","",MONTH(A198))</f>
        <v/>
      </c>
    </row>
    <row r="199">
      <c r="A199" s="15" t="n"/>
      <c r="B199" s="16" t="n"/>
      <c r="C199" s="16" t="n"/>
      <c r="D199" s="16" t="n"/>
      <c r="E199" s="18" t="n"/>
      <c r="F199" s="16" t="n"/>
      <c r="G199">
        <f>IF(A199="","",YEAR(A199))</f>
        <v/>
      </c>
      <c r="H199">
        <f>IF(A199="","",IF(MONTH(A199)&lt;=3,1,IF(MONTH(A199)&lt;=5,2,IF(MONTH(A199)&lt;=8,3,4))))</f>
        <v/>
      </c>
      <c r="I199">
        <f>IF(A199="","",MONTH(A199))</f>
        <v/>
      </c>
    </row>
    <row r="200">
      <c r="A200" s="15" t="n"/>
      <c r="B200" s="16" t="n"/>
      <c r="C200" s="16" t="n"/>
      <c r="D200" s="16" t="n"/>
      <c r="E200" s="18" t="n"/>
      <c r="F200" s="16" t="n"/>
      <c r="G200">
        <f>IF(A200="","",YEAR(A200))</f>
        <v/>
      </c>
      <c r="H200">
        <f>IF(A200="","",IF(MONTH(A200)&lt;=3,1,IF(MONTH(A200)&lt;=5,2,IF(MONTH(A200)&lt;=8,3,4))))</f>
        <v/>
      </c>
      <c r="I200">
        <f>IF(A200="","",MONTH(A200))</f>
        <v/>
      </c>
    </row>
    <row r="201">
      <c r="A201" s="15" t="n"/>
      <c r="B201" s="16" t="n"/>
      <c r="C201" s="16" t="n"/>
      <c r="D201" s="16" t="n"/>
      <c r="E201" s="18" t="n"/>
      <c r="F201" s="16" t="n"/>
      <c r="G201">
        <f>IF(A201="","",YEAR(A201))</f>
        <v/>
      </c>
      <c r="H201">
        <f>IF(A201="","",IF(MONTH(A201)&lt;=3,1,IF(MONTH(A201)&lt;=5,2,IF(MONTH(A201)&lt;=8,3,4))))</f>
        <v/>
      </c>
      <c r="I201">
        <f>IF(A201="","",MONTH(A201))</f>
        <v/>
      </c>
    </row>
    <row r="202">
      <c r="A202" s="15" t="n"/>
      <c r="B202" s="16" t="n"/>
      <c r="C202" s="16" t="n"/>
      <c r="D202" s="16" t="n"/>
      <c r="E202" s="18" t="n"/>
      <c r="F202" s="16" t="n"/>
      <c r="G202">
        <f>IF(A202="","",YEAR(A202))</f>
        <v/>
      </c>
      <c r="H202">
        <f>IF(A202="","",IF(MONTH(A202)&lt;=3,1,IF(MONTH(A202)&lt;=5,2,IF(MONTH(A202)&lt;=8,3,4))))</f>
        <v/>
      </c>
      <c r="I202">
        <f>IF(A202="","",MONTH(A202))</f>
        <v/>
      </c>
    </row>
    <row r="203">
      <c r="A203" s="15" t="n"/>
      <c r="B203" s="16" t="n"/>
      <c r="C203" s="16" t="n"/>
      <c r="D203" s="16" t="n"/>
      <c r="E203" s="18" t="n"/>
      <c r="F203" s="16" t="n"/>
      <c r="G203">
        <f>IF(A203="","",YEAR(A203))</f>
        <v/>
      </c>
      <c r="H203">
        <f>IF(A203="","",IF(MONTH(A203)&lt;=3,1,IF(MONTH(A203)&lt;=5,2,IF(MONTH(A203)&lt;=8,3,4))))</f>
        <v/>
      </c>
      <c r="I203">
        <f>IF(A203="","",MONTH(A203))</f>
        <v/>
      </c>
    </row>
    <row r="204">
      <c r="A204" s="15" t="n"/>
      <c r="B204" s="16" t="n"/>
      <c r="C204" s="16" t="n"/>
      <c r="D204" s="16" t="n"/>
      <c r="E204" s="18" t="n"/>
      <c r="F204" s="16" t="n"/>
      <c r="G204">
        <f>IF(A204="","",YEAR(A204))</f>
        <v/>
      </c>
      <c r="H204">
        <f>IF(A204="","",IF(MONTH(A204)&lt;=3,1,IF(MONTH(A204)&lt;=5,2,IF(MONTH(A204)&lt;=8,3,4))))</f>
        <v/>
      </c>
      <c r="I204">
        <f>IF(A204="","",MONTH(A204))</f>
        <v/>
      </c>
    </row>
    <row r="205">
      <c r="A205" s="15" t="n"/>
      <c r="B205" s="16" t="n"/>
      <c r="C205" s="16" t="n"/>
      <c r="D205" s="16" t="n"/>
      <c r="E205" s="18" t="n"/>
      <c r="F205" s="16" t="n"/>
      <c r="G205">
        <f>IF(A205="","",YEAR(A205))</f>
        <v/>
      </c>
      <c r="H205">
        <f>IF(A205="","",IF(MONTH(A205)&lt;=3,1,IF(MONTH(A205)&lt;=5,2,IF(MONTH(A205)&lt;=8,3,4))))</f>
        <v/>
      </c>
      <c r="I205">
        <f>IF(A205="","",MONTH(A205))</f>
        <v/>
      </c>
    </row>
    <row r="206">
      <c r="A206" s="15" t="n"/>
      <c r="B206" s="16" t="n"/>
      <c r="C206" s="16" t="n"/>
      <c r="D206" s="16" t="n"/>
      <c r="E206" s="18" t="n"/>
      <c r="F206" s="16" t="n"/>
      <c r="G206">
        <f>IF(A206="","",YEAR(A206))</f>
        <v/>
      </c>
      <c r="H206">
        <f>IF(A206="","",IF(MONTH(A206)&lt;=3,1,IF(MONTH(A206)&lt;=5,2,IF(MONTH(A206)&lt;=8,3,4))))</f>
        <v/>
      </c>
      <c r="I206">
        <f>IF(A206="","",MONTH(A206))</f>
        <v/>
      </c>
    </row>
    <row r="207">
      <c r="A207" s="15" t="n"/>
      <c r="B207" s="16" t="n"/>
      <c r="C207" s="16" t="n"/>
      <c r="D207" s="16" t="n"/>
      <c r="E207" s="18" t="n"/>
      <c r="F207" s="16" t="n"/>
      <c r="G207">
        <f>IF(A207="","",YEAR(A207))</f>
        <v/>
      </c>
      <c r="H207">
        <f>IF(A207="","",IF(MONTH(A207)&lt;=3,1,IF(MONTH(A207)&lt;=5,2,IF(MONTH(A207)&lt;=8,3,4))))</f>
        <v/>
      </c>
      <c r="I207">
        <f>IF(A207="","",MONTH(A207))</f>
        <v/>
      </c>
    </row>
    <row r="208">
      <c r="A208" s="15" t="n"/>
      <c r="B208" s="16" t="n"/>
      <c r="C208" s="16" t="n"/>
      <c r="D208" s="16" t="n"/>
      <c r="E208" s="18" t="n"/>
      <c r="F208" s="16" t="n"/>
      <c r="G208">
        <f>IF(A208="","",YEAR(A208))</f>
        <v/>
      </c>
      <c r="H208">
        <f>IF(A208="","",IF(MONTH(A208)&lt;=3,1,IF(MONTH(A208)&lt;=5,2,IF(MONTH(A208)&lt;=8,3,4))))</f>
        <v/>
      </c>
      <c r="I208">
        <f>IF(A208="","",MONTH(A208))</f>
        <v/>
      </c>
    </row>
    <row r="209">
      <c r="A209" s="15" t="n"/>
      <c r="B209" s="16" t="n"/>
      <c r="C209" s="16" t="n"/>
      <c r="D209" s="16" t="n"/>
      <c r="E209" s="18" t="n"/>
      <c r="F209" s="16" t="n"/>
      <c r="G209">
        <f>IF(A209="","",YEAR(A209))</f>
        <v/>
      </c>
      <c r="H209">
        <f>IF(A209="","",IF(MONTH(A209)&lt;=3,1,IF(MONTH(A209)&lt;=5,2,IF(MONTH(A209)&lt;=8,3,4))))</f>
        <v/>
      </c>
      <c r="I209">
        <f>IF(A209="","",MONTH(A209))</f>
        <v/>
      </c>
    </row>
    <row r="210">
      <c r="A210" s="15" t="n"/>
      <c r="B210" s="16" t="n"/>
      <c r="C210" s="16" t="n"/>
      <c r="D210" s="16" t="n"/>
      <c r="E210" s="18" t="n"/>
      <c r="F210" s="16" t="n"/>
      <c r="G210">
        <f>IF(A210="","",YEAR(A210))</f>
        <v/>
      </c>
      <c r="H210">
        <f>IF(A210="","",IF(MONTH(A210)&lt;=3,1,IF(MONTH(A210)&lt;=5,2,IF(MONTH(A210)&lt;=8,3,4))))</f>
        <v/>
      </c>
      <c r="I210">
        <f>IF(A210="","",MONTH(A210))</f>
        <v/>
      </c>
    </row>
    <row r="211">
      <c r="A211" s="15" t="n"/>
      <c r="B211" s="16" t="n"/>
      <c r="C211" s="16" t="n"/>
      <c r="D211" s="16" t="n"/>
      <c r="E211" s="18" t="n"/>
      <c r="F211" s="16" t="n"/>
      <c r="G211">
        <f>IF(A211="","",YEAR(A211))</f>
        <v/>
      </c>
      <c r="H211">
        <f>IF(A211="","",IF(MONTH(A211)&lt;=3,1,IF(MONTH(A211)&lt;=5,2,IF(MONTH(A211)&lt;=8,3,4))))</f>
        <v/>
      </c>
      <c r="I211">
        <f>IF(A211="","",MONTH(A211))</f>
        <v/>
      </c>
    </row>
    <row r="212">
      <c r="A212" s="15" t="n"/>
      <c r="B212" s="16" t="n"/>
      <c r="C212" s="16" t="n"/>
      <c r="D212" s="16" t="n"/>
      <c r="E212" s="18" t="n"/>
      <c r="F212" s="16" t="n"/>
      <c r="G212">
        <f>IF(A212="","",YEAR(A212))</f>
        <v/>
      </c>
      <c r="H212">
        <f>IF(A212="","",IF(MONTH(A212)&lt;=3,1,IF(MONTH(A212)&lt;=5,2,IF(MONTH(A212)&lt;=8,3,4))))</f>
        <v/>
      </c>
      <c r="I212">
        <f>IF(A212="","",MONTH(A212))</f>
        <v/>
      </c>
    </row>
    <row r="213">
      <c r="A213" s="15" t="n"/>
      <c r="B213" s="16" t="n"/>
      <c r="C213" s="16" t="n"/>
      <c r="D213" s="16" t="n"/>
      <c r="E213" s="18" t="n"/>
      <c r="F213" s="16" t="n"/>
      <c r="G213">
        <f>IF(A213="","",YEAR(A213))</f>
        <v/>
      </c>
      <c r="H213">
        <f>IF(A213="","",IF(MONTH(A213)&lt;=3,1,IF(MONTH(A213)&lt;=5,2,IF(MONTH(A213)&lt;=8,3,4))))</f>
        <v/>
      </c>
      <c r="I213">
        <f>IF(A213="","",MONTH(A213))</f>
        <v/>
      </c>
    </row>
    <row r="214">
      <c r="A214" s="15" t="n"/>
      <c r="B214" s="16" t="n"/>
      <c r="C214" s="16" t="n"/>
      <c r="D214" s="16" t="n"/>
      <c r="E214" s="18" t="n"/>
      <c r="F214" s="16" t="n"/>
      <c r="G214">
        <f>IF(A214="","",YEAR(A214))</f>
        <v/>
      </c>
      <c r="H214">
        <f>IF(A214="","",IF(MONTH(A214)&lt;=3,1,IF(MONTH(A214)&lt;=5,2,IF(MONTH(A214)&lt;=8,3,4))))</f>
        <v/>
      </c>
      <c r="I214">
        <f>IF(A214="","",MONTH(A214))</f>
        <v/>
      </c>
    </row>
    <row r="215">
      <c r="A215" s="15" t="n"/>
      <c r="B215" s="16" t="n"/>
      <c r="C215" s="16" t="n"/>
      <c r="D215" s="16" t="n"/>
      <c r="E215" s="18" t="n"/>
      <c r="F215" s="16" t="n"/>
      <c r="G215">
        <f>IF(A215="","",YEAR(A215))</f>
        <v/>
      </c>
      <c r="H215">
        <f>IF(A215="","",IF(MONTH(A215)&lt;=3,1,IF(MONTH(A215)&lt;=5,2,IF(MONTH(A215)&lt;=8,3,4))))</f>
        <v/>
      </c>
      <c r="I215">
        <f>IF(A215="","",MONTH(A215))</f>
        <v/>
      </c>
    </row>
    <row r="216">
      <c r="A216" s="15" t="n"/>
      <c r="B216" s="16" t="n"/>
      <c r="C216" s="16" t="n"/>
      <c r="D216" s="16" t="n"/>
      <c r="E216" s="18" t="n"/>
      <c r="F216" s="16" t="n"/>
      <c r="G216">
        <f>IF(A216="","",YEAR(A216))</f>
        <v/>
      </c>
      <c r="H216">
        <f>IF(A216="","",IF(MONTH(A216)&lt;=3,1,IF(MONTH(A216)&lt;=5,2,IF(MONTH(A216)&lt;=8,3,4))))</f>
        <v/>
      </c>
      <c r="I216">
        <f>IF(A216="","",MONTH(A216))</f>
        <v/>
      </c>
    </row>
    <row r="217">
      <c r="A217" s="15" t="n"/>
      <c r="B217" s="16" t="n"/>
      <c r="C217" s="16" t="n"/>
      <c r="D217" s="16" t="n"/>
      <c r="E217" s="18" t="n"/>
      <c r="F217" s="16" t="n"/>
      <c r="G217">
        <f>IF(A217="","",YEAR(A217))</f>
        <v/>
      </c>
      <c r="H217">
        <f>IF(A217="","",IF(MONTH(A217)&lt;=3,1,IF(MONTH(A217)&lt;=5,2,IF(MONTH(A217)&lt;=8,3,4))))</f>
        <v/>
      </c>
      <c r="I217">
        <f>IF(A217="","",MONTH(A217))</f>
        <v/>
      </c>
    </row>
    <row r="218">
      <c r="A218" s="15" t="n"/>
      <c r="B218" s="16" t="n"/>
      <c r="C218" s="16" t="n"/>
      <c r="D218" s="16" t="n"/>
      <c r="E218" s="18" t="n"/>
      <c r="F218" s="16" t="n"/>
      <c r="G218">
        <f>IF(A218="","",YEAR(A218))</f>
        <v/>
      </c>
      <c r="H218">
        <f>IF(A218="","",IF(MONTH(A218)&lt;=3,1,IF(MONTH(A218)&lt;=5,2,IF(MONTH(A218)&lt;=8,3,4))))</f>
        <v/>
      </c>
      <c r="I218">
        <f>IF(A218="","",MONTH(A218))</f>
        <v/>
      </c>
    </row>
    <row r="219">
      <c r="A219" s="15" t="n"/>
      <c r="B219" s="16" t="n"/>
      <c r="C219" s="16" t="n"/>
      <c r="D219" s="16" t="n"/>
      <c r="E219" s="18" t="n"/>
      <c r="F219" s="16" t="n"/>
      <c r="G219">
        <f>IF(A219="","",YEAR(A219))</f>
        <v/>
      </c>
      <c r="H219">
        <f>IF(A219="","",IF(MONTH(A219)&lt;=3,1,IF(MONTH(A219)&lt;=5,2,IF(MONTH(A219)&lt;=8,3,4))))</f>
        <v/>
      </c>
      <c r="I219">
        <f>IF(A219="","",MONTH(A219))</f>
        <v/>
      </c>
    </row>
    <row r="220">
      <c r="A220" s="15" t="n"/>
      <c r="B220" s="16" t="n"/>
      <c r="C220" s="16" t="n"/>
      <c r="D220" s="16" t="n"/>
      <c r="E220" s="18" t="n"/>
      <c r="F220" s="16" t="n"/>
      <c r="G220">
        <f>IF(A220="","",YEAR(A220))</f>
        <v/>
      </c>
      <c r="H220">
        <f>IF(A220="","",IF(MONTH(A220)&lt;=3,1,IF(MONTH(A220)&lt;=5,2,IF(MONTH(A220)&lt;=8,3,4))))</f>
        <v/>
      </c>
      <c r="I220">
        <f>IF(A220="","",MONTH(A220))</f>
        <v/>
      </c>
    </row>
    <row r="221">
      <c r="A221" s="15" t="n"/>
      <c r="B221" s="16" t="n"/>
      <c r="C221" s="16" t="n"/>
      <c r="D221" s="16" t="n"/>
      <c r="E221" s="18" t="n"/>
      <c r="F221" s="16" t="n"/>
      <c r="G221">
        <f>IF(A221="","",YEAR(A221))</f>
        <v/>
      </c>
      <c r="H221">
        <f>IF(A221="","",IF(MONTH(A221)&lt;=3,1,IF(MONTH(A221)&lt;=5,2,IF(MONTH(A221)&lt;=8,3,4))))</f>
        <v/>
      </c>
      <c r="I221">
        <f>IF(A221="","",MONTH(A221))</f>
        <v/>
      </c>
    </row>
    <row r="222">
      <c r="A222" s="15" t="n"/>
      <c r="B222" s="16" t="n"/>
      <c r="C222" s="16" t="n"/>
      <c r="D222" s="16" t="n"/>
      <c r="E222" s="18" t="n"/>
      <c r="F222" s="16" t="n"/>
      <c r="G222">
        <f>IF(A222="","",YEAR(A222))</f>
        <v/>
      </c>
      <c r="H222">
        <f>IF(A222="","",IF(MONTH(A222)&lt;=3,1,IF(MONTH(A222)&lt;=5,2,IF(MONTH(A222)&lt;=8,3,4))))</f>
        <v/>
      </c>
      <c r="I222">
        <f>IF(A222="","",MONTH(A222))</f>
        <v/>
      </c>
    </row>
    <row r="223">
      <c r="A223" s="15" t="n"/>
      <c r="B223" s="16" t="n"/>
      <c r="C223" s="16" t="n"/>
      <c r="D223" s="16" t="n"/>
      <c r="E223" s="18" t="n"/>
      <c r="F223" s="16" t="n"/>
      <c r="G223">
        <f>IF(A223="","",YEAR(A223))</f>
        <v/>
      </c>
      <c r="H223">
        <f>IF(A223="","",IF(MONTH(A223)&lt;=3,1,IF(MONTH(A223)&lt;=5,2,IF(MONTH(A223)&lt;=8,3,4))))</f>
        <v/>
      </c>
      <c r="I223">
        <f>IF(A223="","",MONTH(A223))</f>
        <v/>
      </c>
    </row>
    <row r="224">
      <c r="A224" s="15" t="n"/>
      <c r="B224" s="16" t="n"/>
      <c r="C224" s="16" t="n"/>
      <c r="D224" s="16" t="n"/>
      <c r="E224" s="18" t="n"/>
      <c r="F224" s="16" t="n"/>
      <c r="G224">
        <f>IF(A224="","",YEAR(A224))</f>
        <v/>
      </c>
      <c r="H224">
        <f>IF(A224="","",IF(MONTH(A224)&lt;=3,1,IF(MONTH(A224)&lt;=5,2,IF(MONTH(A224)&lt;=8,3,4))))</f>
        <v/>
      </c>
      <c r="I224">
        <f>IF(A224="","",MONTH(A224))</f>
        <v/>
      </c>
    </row>
    <row r="225">
      <c r="A225" s="15" t="n"/>
      <c r="B225" s="16" t="n"/>
      <c r="C225" s="16" t="n"/>
      <c r="D225" s="16" t="n"/>
      <c r="E225" s="18" t="n"/>
      <c r="F225" s="16" t="n"/>
      <c r="G225">
        <f>IF(A225="","",YEAR(A225))</f>
        <v/>
      </c>
      <c r="H225">
        <f>IF(A225="","",IF(MONTH(A225)&lt;=3,1,IF(MONTH(A225)&lt;=5,2,IF(MONTH(A225)&lt;=8,3,4))))</f>
        <v/>
      </c>
      <c r="I225">
        <f>IF(A225="","",MONTH(A225))</f>
        <v/>
      </c>
    </row>
    <row r="226">
      <c r="A226" s="15" t="n"/>
      <c r="B226" s="16" t="n"/>
      <c r="C226" s="16" t="n"/>
      <c r="D226" s="16" t="n"/>
      <c r="E226" s="18" t="n"/>
      <c r="F226" s="16" t="n"/>
      <c r="G226">
        <f>IF(A226="","",YEAR(A226))</f>
        <v/>
      </c>
      <c r="H226">
        <f>IF(A226="","",IF(MONTH(A226)&lt;=3,1,IF(MONTH(A226)&lt;=5,2,IF(MONTH(A226)&lt;=8,3,4))))</f>
        <v/>
      </c>
      <c r="I226">
        <f>IF(A226="","",MONTH(A226))</f>
        <v/>
      </c>
    </row>
    <row r="227">
      <c r="A227" s="15" t="n"/>
      <c r="B227" s="16" t="n"/>
      <c r="C227" s="16" t="n"/>
      <c r="D227" s="16" t="n"/>
      <c r="E227" s="18" t="n"/>
      <c r="F227" s="16" t="n"/>
      <c r="G227">
        <f>IF(A227="","",YEAR(A227))</f>
        <v/>
      </c>
      <c r="H227">
        <f>IF(A227="","",IF(MONTH(A227)&lt;=3,1,IF(MONTH(A227)&lt;=5,2,IF(MONTH(A227)&lt;=8,3,4))))</f>
        <v/>
      </c>
      <c r="I227">
        <f>IF(A227="","",MONTH(A227))</f>
        <v/>
      </c>
    </row>
    <row r="228">
      <c r="A228" s="15" t="n"/>
      <c r="B228" s="16" t="n"/>
      <c r="C228" s="16" t="n"/>
      <c r="D228" s="16" t="n"/>
      <c r="E228" s="18" t="n"/>
      <c r="F228" s="16" t="n"/>
      <c r="G228">
        <f>IF(A228="","",YEAR(A228))</f>
        <v/>
      </c>
      <c r="H228">
        <f>IF(A228="","",IF(MONTH(A228)&lt;=3,1,IF(MONTH(A228)&lt;=5,2,IF(MONTH(A228)&lt;=8,3,4))))</f>
        <v/>
      </c>
      <c r="I228">
        <f>IF(A228="","",MONTH(A228))</f>
        <v/>
      </c>
    </row>
    <row r="229">
      <c r="A229" s="15" t="n"/>
      <c r="B229" s="16" t="n"/>
      <c r="C229" s="16" t="n"/>
      <c r="D229" s="16" t="n"/>
      <c r="E229" s="18" t="n"/>
      <c r="F229" s="16" t="n"/>
      <c r="G229">
        <f>IF(A229="","",YEAR(A229))</f>
        <v/>
      </c>
      <c r="H229">
        <f>IF(A229="","",IF(MONTH(A229)&lt;=3,1,IF(MONTH(A229)&lt;=5,2,IF(MONTH(A229)&lt;=8,3,4))))</f>
        <v/>
      </c>
      <c r="I229">
        <f>IF(A229="","",MONTH(A229))</f>
        <v/>
      </c>
    </row>
    <row r="230">
      <c r="A230" s="15" t="n"/>
      <c r="B230" s="16" t="n"/>
      <c r="C230" s="16" t="n"/>
      <c r="D230" s="16" t="n"/>
      <c r="E230" s="18" t="n"/>
      <c r="F230" s="16" t="n"/>
      <c r="G230">
        <f>IF(A230="","",YEAR(A230))</f>
        <v/>
      </c>
      <c r="H230">
        <f>IF(A230="","",IF(MONTH(A230)&lt;=3,1,IF(MONTH(A230)&lt;=5,2,IF(MONTH(A230)&lt;=8,3,4))))</f>
        <v/>
      </c>
      <c r="I230">
        <f>IF(A230="","",MONTH(A230))</f>
        <v/>
      </c>
    </row>
    <row r="231">
      <c r="A231" s="15" t="n"/>
      <c r="B231" s="16" t="n"/>
      <c r="C231" s="16" t="n"/>
      <c r="D231" s="16" t="n"/>
      <c r="E231" s="18" t="n"/>
      <c r="F231" s="16" t="n"/>
      <c r="G231">
        <f>IF(A231="","",YEAR(A231))</f>
        <v/>
      </c>
      <c r="H231">
        <f>IF(A231="","",IF(MONTH(A231)&lt;=3,1,IF(MONTH(A231)&lt;=5,2,IF(MONTH(A231)&lt;=8,3,4))))</f>
        <v/>
      </c>
      <c r="I231">
        <f>IF(A231="","",MONTH(A231))</f>
        <v/>
      </c>
    </row>
    <row r="232">
      <c r="A232" s="15" t="n"/>
      <c r="B232" s="16" t="n"/>
      <c r="C232" s="16" t="n"/>
      <c r="D232" s="16" t="n"/>
      <c r="E232" s="18" t="n"/>
      <c r="F232" s="16" t="n"/>
      <c r="G232">
        <f>IF(A232="","",YEAR(A232))</f>
        <v/>
      </c>
      <c r="H232">
        <f>IF(A232="","",IF(MONTH(A232)&lt;=3,1,IF(MONTH(A232)&lt;=5,2,IF(MONTH(A232)&lt;=8,3,4))))</f>
        <v/>
      </c>
      <c r="I232">
        <f>IF(A232="","",MONTH(A232))</f>
        <v/>
      </c>
    </row>
    <row r="233">
      <c r="A233" s="15" t="n"/>
      <c r="B233" s="16" t="n"/>
      <c r="C233" s="16" t="n"/>
      <c r="D233" s="16" t="n"/>
      <c r="E233" s="18" t="n"/>
      <c r="F233" s="16" t="n"/>
      <c r="G233">
        <f>IF(A233="","",YEAR(A233))</f>
        <v/>
      </c>
      <c r="H233">
        <f>IF(A233="","",IF(MONTH(A233)&lt;=3,1,IF(MONTH(A233)&lt;=5,2,IF(MONTH(A233)&lt;=8,3,4))))</f>
        <v/>
      </c>
      <c r="I233">
        <f>IF(A233="","",MONTH(A233))</f>
        <v/>
      </c>
    </row>
    <row r="234">
      <c r="A234" s="15" t="n"/>
      <c r="B234" s="16" t="n"/>
      <c r="C234" s="16" t="n"/>
      <c r="D234" s="16" t="n"/>
      <c r="E234" s="18" t="n"/>
      <c r="F234" s="16" t="n"/>
      <c r="G234">
        <f>IF(A234="","",YEAR(A234))</f>
        <v/>
      </c>
      <c r="H234">
        <f>IF(A234="","",IF(MONTH(A234)&lt;=3,1,IF(MONTH(A234)&lt;=5,2,IF(MONTH(A234)&lt;=8,3,4))))</f>
        <v/>
      </c>
      <c r="I234">
        <f>IF(A234="","",MONTH(A234))</f>
        <v/>
      </c>
    </row>
    <row r="235">
      <c r="A235" s="15" t="n"/>
      <c r="B235" s="16" t="n"/>
      <c r="C235" s="16" t="n"/>
      <c r="D235" s="16" t="n"/>
      <c r="E235" s="18" t="n"/>
      <c r="F235" s="16" t="n"/>
      <c r="G235">
        <f>IF(A235="","",YEAR(A235))</f>
        <v/>
      </c>
      <c r="H235">
        <f>IF(A235="","",IF(MONTH(A235)&lt;=3,1,IF(MONTH(A235)&lt;=5,2,IF(MONTH(A235)&lt;=8,3,4))))</f>
        <v/>
      </c>
      <c r="I235">
        <f>IF(A235="","",MONTH(A235))</f>
        <v/>
      </c>
    </row>
    <row r="236">
      <c r="A236" s="15" t="n"/>
      <c r="B236" s="16" t="n"/>
      <c r="C236" s="16" t="n"/>
      <c r="D236" s="16" t="n"/>
      <c r="E236" s="18" t="n"/>
      <c r="F236" s="16" t="n"/>
      <c r="G236">
        <f>IF(A236="","",YEAR(A236))</f>
        <v/>
      </c>
      <c r="H236">
        <f>IF(A236="","",IF(MONTH(A236)&lt;=3,1,IF(MONTH(A236)&lt;=5,2,IF(MONTH(A236)&lt;=8,3,4))))</f>
        <v/>
      </c>
      <c r="I236">
        <f>IF(A236="","",MONTH(A236))</f>
        <v/>
      </c>
    </row>
    <row r="237">
      <c r="A237" s="15" t="n"/>
      <c r="B237" s="16" t="n"/>
      <c r="C237" s="16" t="n"/>
      <c r="D237" s="16" t="n"/>
      <c r="E237" s="18" t="n"/>
      <c r="F237" s="16" t="n"/>
      <c r="G237">
        <f>IF(A237="","",YEAR(A237))</f>
        <v/>
      </c>
      <c r="H237">
        <f>IF(A237="","",IF(MONTH(A237)&lt;=3,1,IF(MONTH(A237)&lt;=5,2,IF(MONTH(A237)&lt;=8,3,4))))</f>
        <v/>
      </c>
      <c r="I237">
        <f>IF(A237="","",MONTH(A237))</f>
        <v/>
      </c>
    </row>
    <row r="238">
      <c r="A238" s="15" t="n"/>
      <c r="B238" s="16" t="n"/>
      <c r="C238" s="16" t="n"/>
      <c r="D238" s="16" t="n"/>
      <c r="E238" s="18" t="n"/>
      <c r="F238" s="16" t="n"/>
      <c r="G238">
        <f>IF(A238="","",YEAR(A238))</f>
        <v/>
      </c>
      <c r="H238">
        <f>IF(A238="","",IF(MONTH(A238)&lt;=3,1,IF(MONTH(A238)&lt;=5,2,IF(MONTH(A238)&lt;=8,3,4))))</f>
        <v/>
      </c>
      <c r="I238">
        <f>IF(A238="","",MONTH(A238))</f>
        <v/>
      </c>
    </row>
    <row r="239">
      <c r="A239" s="15" t="n"/>
      <c r="B239" s="16" t="n"/>
      <c r="C239" s="16" t="n"/>
      <c r="D239" s="16" t="n"/>
      <c r="E239" s="18" t="n"/>
      <c r="F239" s="16" t="n"/>
      <c r="G239">
        <f>IF(A239="","",YEAR(A239))</f>
        <v/>
      </c>
      <c r="H239">
        <f>IF(A239="","",IF(MONTH(A239)&lt;=3,1,IF(MONTH(A239)&lt;=5,2,IF(MONTH(A239)&lt;=8,3,4))))</f>
        <v/>
      </c>
      <c r="I239">
        <f>IF(A239="","",MONTH(A239))</f>
        <v/>
      </c>
    </row>
    <row r="240">
      <c r="A240" s="15" t="n"/>
      <c r="B240" s="16" t="n"/>
      <c r="C240" s="16" t="n"/>
      <c r="D240" s="16" t="n"/>
      <c r="E240" s="18" t="n"/>
      <c r="F240" s="16" t="n"/>
      <c r="G240">
        <f>IF(A240="","",YEAR(A240))</f>
        <v/>
      </c>
      <c r="H240">
        <f>IF(A240="","",IF(MONTH(A240)&lt;=3,1,IF(MONTH(A240)&lt;=5,2,IF(MONTH(A240)&lt;=8,3,4))))</f>
        <v/>
      </c>
      <c r="I240">
        <f>IF(A240="","",MONTH(A240))</f>
        <v/>
      </c>
    </row>
    <row r="241">
      <c r="A241" s="15" t="n"/>
      <c r="B241" s="16" t="n"/>
      <c r="C241" s="16" t="n"/>
      <c r="D241" s="16" t="n"/>
      <c r="E241" s="18" t="n"/>
      <c r="F241" s="16" t="n"/>
      <c r="G241">
        <f>IF(A241="","",YEAR(A241))</f>
        <v/>
      </c>
      <c r="H241">
        <f>IF(A241="","",IF(MONTH(A241)&lt;=3,1,IF(MONTH(A241)&lt;=5,2,IF(MONTH(A241)&lt;=8,3,4))))</f>
        <v/>
      </c>
      <c r="I241">
        <f>IF(A241="","",MONTH(A241))</f>
        <v/>
      </c>
    </row>
    <row r="242">
      <c r="A242" s="15" t="n"/>
      <c r="B242" s="16" t="n"/>
      <c r="C242" s="16" t="n"/>
      <c r="D242" s="16" t="n"/>
      <c r="E242" s="18" t="n"/>
      <c r="F242" s="16" t="n"/>
      <c r="G242">
        <f>IF(A242="","",YEAR(A242))</f>
        <v/>
      </c>
      <c r="H242">
        <f>IF(A242="","",IF(MONTH(A242)&lt;=3,1,IF(MONTH(A242)&lt;=5,2,IF(MONTH(A242)&lt;=8,3,4))))</f>
        <v/>
      </c>
      <c r="I242">
        <f>IF(A242="","",MONTH(A242))</f>
        <v/>
      </c>
    </row>
    <row r="243">
      <c r="A243" s="15" t="n"/>
      <c r="B243" s="16" t="n"/>
      <c r="C243" s="16" t="n"/>
      <c r="D243" s="16" t="n"/>
      <c r="E243" s="18" t="n"/>
      <c r="F243" s="16" t="n"/>
      <c r="G243">
        <f>IF(A243="","",YEAR(A243))</f>
        <v/>
      </c>
      <c r="H243">
        <f>IF(A243="","",IF(MONTH(A243)&lt;=3,1,IF(MONTH(A243)&lt;=5,2,IF(MONTH(A243)&lt;=8,3,4))))</f>
        <v/>
      </c>
      <c r="I243">
        <f>IF(A243="","",MONTH(A243))</f>
        <v/>
      </c>
    </row>
    <row r="244">
      <c r="A244" s="15" t="n"/>
      <c r="B244" s="16" t="n"/>
      <c r="C244" s="16" t="n"/>
      <c r="D244" s="16" t="n"/>
      <c r="E244" s="18" t="n"/>
      <c r="F244" s="16" t="n"/>
      <c r="G244">
        <f>IF(A244="","",YEAR(A244))</f>
        <v/>
      </c>
      <c r="H244">
        <f>IF(A244="","",IF(MONTH(A244)&lt;=3,1,IF(MONTH(A244)&lt;=5,2,IF(MONTH(A244)&lt;=8,3,4))))</f>
        <v/>
      </c>
      <c r="I244">
        <f>IF(A244="","",MONTH(A244))</f>
        <v/>
      </c>
    </row>
    <row r="245">
      <c r="A245" s="15" t="n"/>
      <c r="B245" s="16" t="n"/>
      <c r="C245" s="16" t="n"/>
      <c r="D245" s="16" t="n"/>
      <c r="E245" s="18" t="n"/>
      <c r="F245" s="16" t="n"/>
      <c r="G245">
        <f>IF(A245="","",YEAR(A245))</f>
        <v/>
      </c>
      <c r="H245">
        <f>IF(A245="","",IF(MONTH(A245)&lt;=3,1,IF(MONTH(A245)&lt;=5,2,IF(MONTH(A245)&lt;=8,3,4))))</f>
        <v/>
      </c>
      <c r="I245">
        <f>IF(A245="","",MONTH(A245))</f>
        <v/>
      </c>
    </row>
    <row r="246">
      <c r="A246" s="15" t="n"/>
      <c r="B246" s="16" t="n"/>
      <c r="C246" s="16" t="n"/>
      <c r="D246" s="16" t="n"/>
      <c r="E246" s="18" t="n"/>
      <c r="F246" s="16" t="n"/>
      <c r="G246">
        <f>IF(A246="","",YEAR(A246))</f>
        <v/>
      </c>
      <c r="H246">
        <f>IF(A246="","",IF(MONTH(A246)&lt;=3,1,IF(MONTH(A246)&lt;=5,2,IF(MONTH(A246)&lt;=8,3,4))))</f>
        <v/>
      </c>
      <c r="I246">
        <f>IF(A246="","",MONTH(A246))</f>
        <v/>
      </c>
    </row>
    <row r="247">
      <c r="A247" s="15" t="n"/>
      <c r="B247" s="16" t="n"/>
      <c r="C247" s="16" t="n"/>
      <c r="D247" s="16" t="n"/>
      <c r="E247" s="18" t="n"/>
      <c r="F247" s="16" t="n"/>
      <c r="G247">
        <f>IF(A247="","",YEAR(A247))</f>
        <v/>
      </c>
      <c r="H247">
        <f>IF(A247="","",IF(MONTH(A247)&lt;=3,1,IF(MONTH(A247)&lt;=5,2,IF(MONTH(A247)&lt;=8,3,4))))</f>
        <v/>
      </c>
      <c r="I247">
        <f>IF(A247="","",MONTH(A247))</f>
        <v/>
      </c>
    </row>
    <row r="248">
      <c r="A248" s="15" t="n"/>
      <c r="B248" s="16" t="n"/>
      <c r="C248" s="16" t="n"/>
      <c r="D248" s="16" t="n"/>
      <c r="E248" s="18" t="n"/>
      <c r="F248" s="16" t="n"/>
      <c r="G248">
        <f>IF(A248="","",YEAR(A248))</f>
        <v/>
      </c>
      <c r="H248">
        <f>IF(A248="","",IF(MONTH(A248)&lt;=3,1,IF(MONTH(A248)&lt;=5,2,IF(MONTH(A248)&lt;=8,3,4))))</f>
        <v/>
      </c>
      <c r="I248">
        <f>IF(A248="","",MONTH(A248))</f>
        <v/>
      </c>
    </row>
    <row r="249">
      <c r="A249" s="15" t="n"/>
      <c r="B249" s="16" t="n"/>
      <c r="C249" s="16" t="n"/>
      <c r="D249" s="16" t="n"/>
      <c r="E249" s="18" t="n"/>
      <c r="F249" s="16" t="n"/>
      <c r="G249">
        <f>IF(A249="","",YEAR(A249))</f>
        <v/>
      </c>
      <c r="H249">
        <f>IF(A249="","",IF(MONTH(A249)&lt;=3,1,IF(MONTH(A249)&lt;=5,2,IF(MONTH(A249)&lt;=8,3,4))))</f>
        <v/>
      </c>
      <c r="I249">
        <f>IF(A249="","",MONTH(A249))</f>
        <v/>
      </c>
    </row>
    <row r="250">
      <c r="A250" s="15" t="n"/>
      <c r="B250" s="16" t="n"/>
      <c r="C250" s="16" t="n"/>
      <c r="D250" s="16" t="n"/>
      <c r="E250" s="18" t="n"/>
      <c r="F250" s="16" t="n"/>
      <c r="G250">
        <f>IF(A250="","",YEAR(A250))</f>
        <v/>
      </c>
      <c r="H250">
        <f>IF(A250="","",IF(MONTH(A250)&lt;=3,1,IF(MONTH(A250)&lt;=5,2,IF(MONTH(A250)&lt;=8,3,4))))</f>
        <v/>
      </c>
      <c r="I250">
        <f>IF(A250="","",MONTH(A250))</f>
        <v/>
      </c>
    </row>
    <row r="251">
      <c r="A251" s="15" t="n"/>
      <c r="B251" s="16" t="n"/>
      <c r="C251" s="16" t="n"/>
      <c r="D251" s="16" t="n"/>
      <c r="E251" s="18" t="n"/>
      <c r="F251" s="16" t="n"/>
      <c r="G251">
        <f>IF(A251="","",YEAR(A251))</f>
        <v/>
      </c>
      <c r="H251">
        <f>IF(A251="","",IF(MONTH(A251)&lt;=3,1,IF(MONTH(A251)&lt;=5,2,IF(MONTH(A251)&lt;=8,3,4))))</f>
        <v/>
      </c>
      <c r="I251">
        <f>IF(A251="","",MONTH(A251))</f>
        <v/>
      </c>
    </row>
    <row r="252">
      <c r="A252" s="15" t="n"/>
      <c r="B252" s="16" t="n"/>
      <c r="C252" s="16" t="n"/>
      <c r="D252" s="16" t="n"/>
      <c r="E252" s="18" t="n"/>
      <c r="F252" s="16" t="n"/>
      <c r="G252">
        <f>IF(A252="","",YEAR(A252))</f>
        <v/>
      </c>
      <c r="H252">
        <f>IF(A252="","",IF(MONTH(A252)&lt;=3,1,IF(MONTH(A252)&lt;=5,2,IF(MONTH(A252)&lt;=8,3,4))))</f>
        <v/>
      </c>
      <c r="I252">
        <f>IF(A252="","",MONTH(A252))</f>
        <v/>
      </c>
    </row>
    <row r="253">
      <c r="A253" s="15" t="n"/>
      <c r="B253" s="16" t="n"/>
      <c r="C253" s="16" t="n"/>
      <c r="D253" s="16" t="n"/>
      <c r="E253" s="18" t="n"/>
      <c r="F253" s="16" t="n"/>
      <c r="G253">
        <f>IF(A253="","",YEAR(A253))</f>
        <v/>
      </c>
      <c r="H253">
        <f>IF(A253="","",IF(MONTH(A253)&lt;=3,1,IF(MONTH(A253)&lt;=5,2,IF(MONTH(A253)&lt;=8,3,4))))</f>
        <v/>
      </c>
      <c r="I253">
        <f>IF(A253="","",MONTH(A253))</f>
        <v/>
      </c>
    </row>
    <row r="254">
      <c r="A254" s="15" t="n"/>
      <c r="B254" s="16" t="n"/>
      <c r="C254" s="16" t="n"/>
      <c r="D254" s="16" t="n"/>
      <c r="E254" s="18" t="n"/>
      <c r="F254" s="16" t="n"/>
      <c r="G254">
        <f>IF(A254="","",YEAR(A254))</f>
        <v/>
      </c>
      <c r="H254">
        <f>IF(A254="","",IF(MONTH(A254)&lt;=3,1,IF(MONTH(A254)&lt;=5,2,IF(MONTH(A254)&lt;=8,3,4))))</f>
        <v/>
      </c>
      <c r="I254">
        <f>IF(A254="","",MONTH(A254))</f>
        <v/>
      </c>
    </row>
    <row r="255">
      <c r="A255" s="15" t="n"/>
      <c r="B255" s="16" t="n"/>
      <c r="C255" s="16" t="n"/>
      <c r="D255" s="16" t="n"/>
      <c r="E255" s="18" t="n"/>
      <c r="F255" s="16" t="n"/>
      <c r="G255">
        <f>IF(A255="","",YEAR(A255))</f>
        <v/>
      </c>
      <c r="H255">
        <f>IF(A255="","",IF(MONTH(A255)&lt;=3,1,IF(MONTH(A255)&lt;=5,2,IF(MONTH(A255)&lt;=8,3,4))))</f>
        <v/>
      </c>
      <c r="I255">
        <f>IF(A255="","",MONTH(A255))</f>
        <v/>
      </c>
    </row>
    <row r="256">
      <c r="A256" s="15" t="n"/>
      <c r="B256" s="16" t="n"/>
      <c r="C256" s="16" t="n"/>
      <c r="D256" s="16" t="n"/>
      <c r="E256" s="18" t="n"/>
      <c r="F256" s="16" t="n"/>
      <c r="G256">
        <f>IF(A256="","",YEAR(A256))</f>
        <v/>
      </c>
      <c r="H256">
        <f>IF(A256="","",IF(MONTH(A256)&lt;=3,1,IF(MONTH(A256)&lt;=5,2,IF(MONTH(A256)&lt;=8,3,4))))</f>
        <v/>
      </c>
      <c r="I256">
        <f>IF(A256="","",MONTH(A256))</f>
        <v/>
      </c>
    </row>
    <row r="257">
      <c r="A257" s="15" t="n"/>
      <c r="B257" s="16" t="n"/>
      <c r="C257" s="16" t="n"/>
      <c r="D257" s="16" t="n"/>
      <c r="E257" s="18" t="n"/>
      <c r="F257" s="16" t="n"/>
      <c r="G257">
        <f>IF(A257="","",YEAR(A257))</f>
        <v/>
      </c>
      <c r="H257">
        <f>IF(A257="","",IF(MONTH(A257)&lt;=3,1,IF(MONTH(A257)&lt;=5,2,IF(MONTH(A257)&lt;=8,3,4))))</f>
        <v/>
      </c>
      <c r="I257">
        <f>IF(A257="","",MONTH(A257))</f>
        <v/>
      </c>
    </row>
    <row r="258">
      <c r="A258" s="15" t="n"/>
      <c r="B258" s="16" t="n"/>
      <c r="C258" s="16" t="n"/>
      <c r="D258" s="16" t="n"/>
      <c r="E258" s="18" t="n"/>
      <c r="F258" s="16" t="n"/>
      <c r="G258">
        <f>IF(A258="","",YEAR(A258))</f>
        <v/>
      </c>
      <c r="H258">
        <f>IF(A258="","",IF(MONTH(A258)&lt;=3,1,IF(MONTH(A258)&lt;=5,2,IF(MONTH(A258)&lt;=8,3,4))))</f>
        <v/>
      </c>
      <c r="I258">
        <f>IF(A258="","",MONTH(A258))</f>
        <v/>
      </c>
    </row>
    <row r="259">
      <c r="A259" s="15" t="n"/>
      <c r="B259" s="16" t="n"/>
      <c r="C259" s="16" t="n"/>
      <c r="D259" s="16" t="n"/>
      <c r="E259" s="18" t="n"/>
      <c r="F259" s="16" t="n"/>
      <c r="G259">
        <f>IF(A259="","",YEAR(A259))</f>
        <v/>
      </c>
      <c r="H259">
        <f>IF(A259="","",IF(MONTH(A259)&lt;=3,1,IF(MONTH(A259)&lt;=5,2,IF(MONTH(A259)&lt;=8,3,4))))</f>
        <v/>
      </c>
      <c r="I259">
        <f>IF(A259="","",MONTH(A259))</f>
        <v/>
      </c>
    </row>
    <row r="260">
      <c r="A260" s="15" t="n"/>
      <c r="B260" s="16" t="n"/>
      <c r="C260" s="16" t="n"/>
      <c r="D260" s="16" t="n"/>
      <c r="E260" s="18" t="n"/>
      <c r="F260" s="16" t="n"/>
      <c r="G260">
        <f>IF(A260="","",YEAR(A260))</f>
        <v/>
      </c>
      <c r="H260">
        <f>IF(A260="","",IF(MONTH(A260)&lt;=3,1,IF(MONTH(A260)&lt;=5,2,IF(MONTH(A260)&lt;=8,3,4))))</f>
        <v/>
      </c>
      <c r="I260">
        <f>IF(A260="","",MONTH(A260))</f>
        <v/>
      </c>
    </row>
    <row r="261">
      <c r="A261" s="15" t="n"/>
      <c r="B261" s="16" t="n"/>
      <c r="C261" s="16" t="n"/>
      <c r="D261" s="16" t="n"/>
      <c r="E261" s="18" t="n"/>
      <c r="F261" s="16" t="n"/>
      <c r="G261">
        <f>IF(A261="","",YEAR(A261))</f>
        <v/>
      </c>
      <c r="H261">
        <f>IF(A261="","",IF(MONTH(A261)&lt;=3,1,IF(MONTH(A261)&lt;=5,2,IF(MONTH(A261)&lt;=8,3,4))))</f>
        <v/>
      </c>
      <c r="I261">
        <f>IF(A261="","",MONTH(A261))</f>
        <v/>
      </c>
    </row>
    <row r="262">
      <c r="A262" s="15" t="n"/>
      <c r="B262" s="16" t="n"/>
      <c r="C262" s="16" t="n"/>
      <c r="D262" s="16" t="n"/>
      <c r="E262" s="18" t="n"/>
      <c r="F262" s="16" t="n"/>
      <c r="G262">
        <f>IF(A262="","",YEAR(A262))</f>
        <v/>
      </c>
      <c r="H262">
        <f>IF(A262="","",IF(MONTH(A262)&lt;=3,1,IF(MONTH(A262)&lt;=5,2,IF(MONTH(A262)&lt;=8,3,4))))</f>
        <v/>
      </c>
      <c r="I262">
        <f>IF(A262="","",MONTH(A262))</f>
        <v/>
      </c>
    </row>
    <row r="263">
      <c r="A263" s="15" t="n"/>
      <c r="B263" s="16" t="n"/>
      <c r="C263" s="16" t="n"/>
      <c r="D263" s="16" t="n"/>
      <c r="E263" s="18" t="n"/>
      <c r="F263" s="16" t="n"/>
      <c r="G263">
        <f>IF(A263="","",YEAR(A263))</f>
        <v/>
      </c>
      <c r="H263">
        <f>IF(A263="","",IF(MONTH(A263)&lt;=3,1,IF(MONTH(A263)&lt;=5,2,IF(MONTH(A263)&lt;=8,3,4))))</f>
        <v/>
      </c>
      <c r="I263">
        <f>IF(A263="","",MONTH(A263))</f>
        <v/>
      </c>
    </row>
    <row r="264">
      <c r="A264" s="15" t="n"/>
      <c r="B264" s="16" t="n"/>
      <c r="C264" s="16" t="n"/>
      <c r="D264" s="16" t="n"/>
      <c r="E264" s="18" t="n"/>
      <c r="F264" s="16" t="n"/>
      <c r="G264">
        <f>IF(A264="","",YEAR(A264))</f>
        <v/>
      </c>
      <c r="H264">
        <f>IF(A264="","",IF(MONTH(A264)&lt;=3,1,IF(MONTH(A264)&lt;=5,2,IF(MONTH(A264)&lt;=8,3,4))))</f>
        <v/>
      </c>
      <c r="I264">
        <f>IF(A264="","",MONTH(A264))</f>
        <v/>
      </c>
    </row>
    <row r="265">
      <c r="A265" s="15" t="n"/>
      <c r="B265" s="16" t="n"/>
      <c r="C265" s="16" t="n"/>
      <c r="D265" s="16" t="n"/>
      <c r="E265" s="18" t="n"/>
      <c r="F265" s="16" t="n"/>
      <c r="G265">
        <f>IF(A265="","",YEAR(A265))</f>
        <v/>
      </c>
      <c r="H265">
        <f>IF(A265="","",IF(MONTH(A265)&lt;=3,1,IF(MONTH(A265)&lt;=5,2,IF(MONTH(A265)&lt;=8,3,4))))</f>
        <v/>
      </c>
      <c r="I265">
        <f>IF(A265="","",MONTH(A265))</f>
        <v/>
      </c>
    </row>
    <row r="266">
      <c r="A266" s="15" t="n"/>
      <c r="B266" s="16" t="n"/>
      <c r="C266" s="16" t="n"/>
      <c r="D266" s="16" t="n"/>
      <c r="E266" s="18" t="n"/>
      <c r="F266" s="16" t="n"/>
      <c r="G266">
        <f>IF(A266="","",YEAR(A266))</f>
        <v/>
      </c>
      <c r="H266">
        <f>IF(A266="","",IF(MONTH(A266)&lt;=3,1,IF(MONTH(A266)&lt;=5,2,IF(MONTH(A266)&lt;=8,3,4))))</f>
        <v/>
      </c>
      <c r="I266">
        <f>IF(A266="","",MONTH(A266))</f>
        <v/>
      </c>
    </row>
    <row r="267">
      <c r="A267" s="15" t="n"/>
      <c r="B267" s="16" t="n"/>
      <c r="C267" s="16" t="n"/>
      <c r="D267" s="16" t="n"/>
      <c r="E267" s="18" t="n"/>
      <c r="F267" s="16" t="n"/>
      <c r="G267">
        <f>IF(A267="","",YEAR(A267))</f>
        <v/>
      </c>
      <c r="H267">
        <f>IF(A267="","",IF(MONTH(A267)&lt;=3,1,IF(MONTH(A267)&lt;=5,2,IF(MONTH(A267)&lt;=8,3,4))))</f>
        <v/>
      </c>
      <c r="I267">
        <f>IF(A267="","",MONTH(A267))</f>
        <v/>
      </c>
    </row>
    <row r="268">
      <c r="A268" s="15" t="n"/>
      <c r="B268" s="16" t="n"/>
      <c r="C268" s="16" t="n"/>
      <c r="D268" s="16" t="n"/>
      <c r="E268" s="18" t="n"/>
      <c r="F268" s="16" t="n"/>
      <c r="G268">
        <f>IF(A268="","",YEAR(A268))</f>
        <v/>
      </c>
      <c r="H268">
        <f>IF(A268="","",IF(MONTH(A268)&lt;=3,1,IF(MONTH(A268)&lt;=5,2,IF(MONTH(A268)&lt;=8,3,4))))</f>
        <v/>
      </c>
      <c r="I268">
        <f>IF(A268="","",MONTH(A268))</f>
        <v/>
      </c>
    </row>
    <row r="269">
      <c r="A269" s="15" t="n"/>
      <c r="B269" s="16" t="n"/>
      <c r="C269" s="16" t="n"/>
      <c r="D269" s="16" t="n"/>
      <c r="E269" s="18" t="n"/>
      <c r="F269" s="16" t="n"/>
      <c r="G269">
        <f>IF(A269="","",YEAR(A269))</f>
        <v/>
      </c>
      <c r="H269">
        <f>IF(A269="","",IF(MONTH(A269)&lt;=3,1,IF(MONTH(A269)&lt;=5,2,IF(MONTH(A269)&lt;=8,3,4))))</f>
        <v/>
      </c>
      <c r="I269">
        <f>IF(A269="","",MONTH(A269))</f>
        <v/>
      </c>
    </row>
    <row r="270">
      <c r="A270" s="15" t="n"/>
      <c r="B270" s="16" t="n"/>
      <c r="C270" s="16" t="n"/>
      <c r="D270" s="16" t="n"/>
      <c r="E270" s="18" t="n"/>
      <c r="F270" s="16" t="n"/>
      <c r="G270">
        <f>IF(A270="","",YEAR(A270))</f>
        <v/>
      </c>
      <c r="H270">
        <f>IF(A270="","",IF(MONTH(A270)&lt;=3,1,IF(MONTH(A270)&lt;=5,2,IF(MONTH(A270)&lt;=8,3,4))))</f>
        <v/>
      </c>
      <c r="I270">
        <f>IF(A270="","",MONTH(A270))</f>
        <v/>
      </c>
    </row>
    <row r="271">
      <c r="A271" s="15" t="n"/>
      <c r="B271" s="16" t="n"/>
      <c r="C271" s="16" t="n"/>
      <c r="D271" s="16" t="n"/>
      <c r="E271" s="18" t="n"/>
      <c r="F271" s="16" t="n"/>
      <c r="G271">
        <f>IF(A271="","",YEAR(A271))</f>
        <v/>
      </c>
      <c r="H271">
        <f>IF(A271="","",IF(MONTH(A271)&lt;=3,1,IF(MONTH(A271)&lt;=5,2,IF(MONTH(A271)&lt;=8,3,4))))</f>
        <v/>
      </c>
      <c r="I271">
        <f>IF(A271="","",MONTH(A271))</f>
        <v/>
      </c>
    </row>
    <row r="272">
      <c r="A272" s="15" t="n"/>
      <c r="B272" s="16" t="n"/>
      <c r="C272" s="16" t="n"/>
      <c r="D272" s="16" t="n"/>
      <c r="E272" s="18" t="n"/>
      <c r="F272" s="16" t="n"/>
      <c r="G272">
        <f>IF(A272="","",YEAR(A272))</f>
        <v/>
      </c>
      <c r="H272">
        <f>IF(A272="","",IF(MONTH(A272)&lt;=3,1,IF(MONTH(A272)&lt;=5,2,IF(MONTH(A272)&lt;=8,3,4))))</f>
        <v/>
      </c>
      <c r="I272">
        <f>IF(A272="","",MONTH(A272))</f>
        <v/>
      </c>
    </row>
    <row r="273">
      <c r="A273" s="15" t="n"/>
      <c r="B273" s="16" t="n"/>
      <c r="C273" s="16" t="n"/>
      <c r="D273" s="16" t="n"/>
      <c r="E273" s="18" t="n"/>
      <c r="F273" s="16" t="n"/>
      <c r="G273">
        <f>IF(A273="","",YEAR(A273))</f>
        <v/>
      </c>
      <c r="H273">
        <f>IF(A273="","",IF(MONTH(A273)&lt;=3,1,IF(MONTH(A273)&lt;=5,2,IF(MONTH(A273)&lt;=8,3,4))))</f>
        <v/>
      </c>
      <c r="I273">
        <f>IF(A273="","",MONTH(A273))</f>
        <v/>
      </c>
    </row>
    <row r="274">
      <c r="A274" s="15" t="n"/>
      <c r="B274" s="16" t="n"/>
      <c r="C274" s="16" t="n"/>
      <c r="D274" s="16" t="n"/>
      <c r="E274" s="18" t="n"/>
      <c r="F274" s="16" t="n"/>
      <c r="G274">
        <f>IF(A274="","",YEAR(A274))</f>
        <v/>
      </c>
      <c r="H274">
        <f>IF(A274="","",IF(MONTH(A274)&lt;=3,1,IF(MONTH(A274)&lt;=5,2,IF(MONTH(A274)&lt;=8,3,4))))</f>
        <v/>
      </c>
      <c r="I274">
        <f>IF(A274="","",MONTH(A274))</f>
        <v/>
      </c>
    </row>
    <row r="275">
      <c r="A275" s="15" t="n"/>
      <c r="B275" s="16" t="n"/>
      <c r="C275" s="16" t="n"/>
      <c r="D275" s="16" t="n"/>
      <c r="E275" s="18" t="n"/>
      <c r="F275" s="16" t="n"/>
      <c r="G275">
        <f>IF(A275="","",YEAR(A275))</f>
        <v/>
      </c>
      <c r="H275">
        <f>IF(A275="","",IF(MONTH(A275)&lt;=3,1,IF(MONTH(A275)&lt;=5,2,IF(MONTH(A275)&lt;=8,3,4))))</f>
        <v/>
      </c>
      <c r="I275">
        <f>IF(A275="","",MONTH(A275))</f>
        <v/>
      </c>
    </row>
    <row r="276">
      <c r="A276" s="15" t="n"/>
      <c r="B276" s="16" t="n"/>
      <c r="C276" s="16" t="n"/>
      <c r="D276" s="16" t="n"/>
      <c r="E276" s="18" t="n"/>
      <c r="F276" s="16" t="n"/>
      <c r="G276">
        <f>IF(A276="","",YEAR(A276))</f>
        <v/>
      </c>
      <c r="H276">
        <f>IF(A276="","",IF(MONTH(A276)&lt;=3,1,IF(MONTH(A276)&lt;=5,2,IF(MONTH(A276)&lt;=8,3,4))))</f>
        <v/>
      </c>
      <c r="I276">
        <f>IF(A276="","",MONTH(A276))</f>
        <v/>
      </c>
    </row>
    <row r="277">
      <c r="A277" s="15" t="n"/>
      <c r="B277" s="16" t="n"/>
      <c r="C277" s="16" t="n"/>
      <c r="D277" s="16" t="n"/>
      <c r="E277" s="18" t="n"/>
      <c r="F277" s="16" t="n"/>
      <c r="G277">
        <f>IF(A277="","",YEAR(A277))</f>
        <v/>
      </c>
      <c r="H277">
        <f>IF(A277="","",IF(MONTH(A277)&lt;=3,1,IF(MONTH(A277)&lt;=5,2,IF(MONTH(A277)&lt;=8,3,4))))</f>
        <v/>
      </c>
      <c r="I277">
        <f>IF(A277="","",MONTH(A277))</f>
        <v/>
      </c>
    </row>
    <row r="278">
      <c r="A278" s="15" t="n"/>
      <c r="B278" s="16" t="n"/>
      <c r="C278" s="16" t="n"/>
      <c r="D278" s="16" t="n"/>
      <c r="E278" s="18" t="n"/>
      <c r="F278" s="16" t="n"/>
      <c r="G278">
        <f>IF(A278="","",YEAR(A278))</f>
        <v/>
      </c>
      <c r="H278">
        <f>IF(A278="","",IF(MONTH(A278)&lt;=3,1,IF(MONTH(A278)&lt;=5,2,IF(MONTH(A278)&lt;=8,3,4))))</f>
        <v/>
      </c>
      <c r="I278">
        <f>IF(A278="","",MONTH(A278))</f>
        <v/>
      </c>
    </row>
    <row r="279">
      <c r="A279" s="15" t="n"/>
      <c r="B279" s="16" t="n"/>
      <c r="C279" s="16" t="n"/>
      <c r="D279" s="16" t="n"/>
      <c r="E279" s="18" t="n"/>
      <c r="F279" s="16" t="n"/>
      <c r="G279">
        <f>IF(A279="","",YEAR(A279))</f>
        <v/>
      </c>
      <c r="H279">
        <f>IF(A279="","",IF(MONTH(A279)&lt;=3,1,IF(MONTH(A279)&lt;=5,2,IF(MONTH(A279)&lt;=8,3,4))))</f>
        <v/>
      </c>
      <c r="I279">
        <f>IF(A279="","",MONTH(A279))</f>
        <v/>
      </c>
    </row>
    <row r="280">
      <c r="A280" s="15" t="n"/>
      <c r="B280" s="16" t="n"/>
      <c r="C280" s="16" t="n"/>
      <c r="D280" s="16" t="n"/>
      <c r="E280" s="18" t="n"/>
      <c r="F280" s="16" t="n"/>
      <c r="G280">
        <f>IF(A280="","",YEAR(A280))</f>
        <v/>
      </c>
      <c r="H280">
        <f>IF(A280="","",IF(MONTH(A280)&lt;=3,1,IF(MONTH(A280)&lt;=5,2,IF(MONTH(A280)&lt;=8,3,4))))</f>
        <v/>
      </c>
      <c r="I280">
        <f>IF(A280="","",MONTH(A280))</f>
        <v/>
      </c>
    </row>
    <row r="281">
      <c r="A281" s="15" t="n"/>
      <c r="B281" s="16" t="n"/>
      <c r="C281" s="16" t="n"/>
      <c r="D281" s="16" t="n"/>
      <c r="E281" s="18" t="n"/>
      <c r="F281" s="16" t="n"/>
      <c r="G281">
        <f>IF(A281="","",YEAR(A281))</f>
        <v/>
      </c>
      <c r="H281">
        <f>IF(A281="","",IF(MONTH(A281)&lt;=3,1,IF(MONTH(A281)&lt;=5,2,IF(MONTH(A281)&lt;=8,3,4))))</f>
        <v/>
      </c>
      <c r="I281">
        <f>IF(A281="","",MONTH(A281))</f>
        <v/>
      </c>
    </row>
    <row r="282">
      <c r="A282" s="15" t="n"/>
      <c r="B282" s="16" t="n"/>
      <c r="C282" s="16" t="n"/>
      <c r="D282" s="16" t="n"/>
      <c r="E282" s="18" t="n"/>
      <c r="F282" s="16" t="n"/>
      <c r="G282">
        <f>IF(A282="","",YEAR(A282))</f>
        <v/>
      </c>
      <c r="H282">
        <f>IF(A282="","",IF(MONTH(A282)&lt;=3,1,IF(MONTH(A282)&lt;=5,2,IF(MONTH(A282)&lt;=8,3,4))))</f>
        <v/>
      </c>
      <c r="I282">
        <f>IF(A282="","",MONTH(A282))</f>
        <v/>
      </c>
    </row>
    <row r="283">
      <c r="A283" s="15" t="n"/>
      <c r="B283" s="16" t="n"/>
      <c r="C283" s="16" t="n"/>
      <c r="D283" s="16" t="n"/>
      <c r="E283" s="18" t="n"/>
      <c r="F283" s="16" t="n"/>
      <c r="G283">
        <f>IF(A283="","",YEAR(A283))</f>
        <v/>
      </c>
      <c r="H283">
        <f>IF(A283="","",IF(MONTH(A283)&lt;=3,1,IF(MONTH(A283)&lt;=5,2,IF(MONTH(A283)&lt;=8,3,4))))</f>
        <v/>
      </c>
      <c r="I283">
        <f>IF(A283="","",MONTH(A283))</f>
        <v/>
      </c>
    </row>
    <row r="284">
      <c r="A284" s="15" t="n"/>
      <c r="B284" s="16" t="n"/>
      <c r="C284" s="16" t="n"/>
      <c r="D284" s="16" t="n"/>
      <c r="E284" s="18" t="n"/>
      <c r="F284" s="16" t="n"/>
      <c r="G284">
        <f>IF(A284="","",YEAR(A284))</f>
        <v/>
      </c>
      <c r="H284">
        <f>IF(A284="","",IF(MONTH(A284)&lt;=3,1,IF(MONTH(A284)&lt;=5,2,IF(MONTH(A284)&lt;=8,3,4))))</f>
        <v/>
      </c>
      <c r="I284">
        <f>IF(A284="","",MONTH(A284))</f>
        <v/>
      </c>
    </row>
    <row r="285">
      <c r="A285" s="15" t="n"/>
      <c r="B285" s="16" t="n"/>
      <c r="C285" s="16" t="n"/>
      <c r="D285" s="16" t="n"/>
      <c r="E285" s="18" t="n"/>
      <c r="F285" s="16" t="n"/>
      <c r="G285">
        <f>IF(A285="","",YEAR(A285))</f>
        <v/>
      </c>
      <c r="H285">
        <f>IF(A285="","",IF(MONTH(A285)&lt;=3,1,IF(MONTH(A285)&lt;=5,2,IF(MONTH(A285)&lt;=8,3,4))))</f>
        <v/>
      </c>
      <c r="I285">
        <f>IF(A285="","",MONTH(A285))</f>
        <v/>
      </c>
    </row>
    <row r="286">
      <c r="A286" s="15" t="n"/>
      <c r="B286" s="16" t="n"/>
      <c r="C286" s="16" t="n"/>
      <c r="D286" s="16" t="n"/>
      <c r="E286" s="18" t="n"/>
      <c r="F286" s="16" t="n"/>
      <c r="G286">
        <f>IF(A286="","",YEAR(A286))</f>
        <v/>
      </c>
      <c r="H286">
        <f>IF(A286="","",IF(MONTH(A286)&lt;=3,1,IF(MONTH(A286)&lt;=5,2,IF(MONTH(A286)&lt;=8,3,4))))</f>
        <v/>
      </c>
      <c r="I286">
        <f>IF(A286="","",MONTH(A286))</f>
        <v/>
      </c>
    </row>
    <row r="287">
      <c r="A287" s="15" t="n"/>
      <c r="B287" s="16" t="n"/>
      <c r="C287" s="16" t="n"/>
      <c r="D287" s="16" t="n"/>
      <c r="E287" s="18" t="n"/>
      <c r="F287" s="16" t="n"/>
      <c r="G287">
        <f>IF(A287="","",YEAR(A287))</f>
        <v/>
      </c>
      <c r="H287">
        <f>IF(A287="","",IF(MONTH(A287)&lt;=3,1,IF(MONTH(A287)&lt;=5,2,IF(MONTH(A287)&lt;=8,3,4))))</f>
        <v/>
      </c>
      <c r="I287">
        <f>IF(A287="","",MONTH(A287))</f>
        <v/>
      </c>
    </row>
    <row r="288">
      <c r="A288" s="15" t="n"/>
      <c r="B288" s="16" t="n"/>
      <c r="C288" s="16" t="n"/>
      <c r="D288" s="16" t="n"/>
      <c r="E288" s="18" t="n"/>
      <c r="F288" s="16" t="n"/>
      <c r="G288">
        <f>IF(A288="","",YEAR(A288))</f>
        <v/>
      </c>
      <c r="H288">
        <f>IF(A288="","",IF(MONTH(A288)&lt;=3,1,IF(MONTH(A288)&lt;=5,2,IF(MONTH(A288)&lt;=8,3,4))))</f>
        <v/>
      </c>
      <c r="I288">
        <f>IF(A288="","",MONTH(A288))</f>
        <v/>
      </c>
    </row>
    <row r="289">
      <c r="A289" s="15" t="n"/>
      <c r="B289" s="16" t="n"/>
      <c r="C289" s="16" t="n"/>
      <c r="D289" s="16" t="n"/>
      <c r="E289" s="18" t="n"/>
      <c r="F289" s="16" t="n"/>
      <c r="G289">
        <f>IF(A289="","",YEAR(A289))</f>
        <v/>
      </c>
      <c r="H289">
        <f>IF(A289="","",IF(MONTH(A289)&lt;=3,1,IF(MONTH(A289)&lt;=5,2,IF(MONTH(A289)&lt;=8,3,4))))</f>
        <v/>
      </c>
      <c r="I289">
        <f>IF(A289="","",MONTH(A289))</f>
        <v/>
      </c>
    </row>
    <row r="290">
      <c r="A290" s="15" t="n"/>
      <c r="B290" s="16" t="n"/>
      <c r="C290" s="16" t="n"/>
      <c r="D290" s="16" t="n"/>
      <c r="E290" s="18" t="n"/>
      <c r="F290" s="16" t="n"/>
      <c r="G290">
        <f>IF(A290="","",YEAR(A290))</f>
        <v/>
      </c>
      <c r="H290">
        <f>IF(A290="","",IF(MONTH(A290)&lt;=3,1,IF(MONTH(A290)&lt;=5,2,IF(MONTH(A290)&lt;=8,3,4))))</f>
        <v/>
      </c>
      <c r="I290">
        <f>IF(A290="","",MONTH(A290))</f>
        <v/>
      </c>
    </row>
    <row r="291">
      <c r="A291" s="15" t="n"/>
      <c r="B291" s="16" t="n"/>
      <c r="C291" s="16" t="n"/>
      <c r="D291" s="16" t="n"/>
      <c r="E291" s="18" t="n"/>
      <c r="F291" s="16" t="n"/>
      <c r="G291">
        <f>IF(A291="","",YEAR(A291))</f>
        <v/>
      </c>
      <c r="H291">
        <f>IF(A291="","",IF(MONTH(A291)&lt;=3,1,IF(MONTH(A291)&lt;=5,2,IF(MONTH(A291)&lt;=8,3,4))))</f>
        <v/>
      </c>
      <c r="I291">
        <f>IF(A291="","",MONTH(A291))</f>
        <v/>
      </c>
    </row>
    <row r="292">
      <c r="A292" s="15" t="n"/>
      <c r="B292" s="16" t="n"/>
      <c r="C292" s="16" t="n"/>
      <c r="D292" s="16" t="n"/>
      <c r="E292" s="18" t="n"/>
      <c r="F292" s="16" t="n"/>
      <c r="G292">
        <f>IF(A292="","",YEAR(A292))</f>
        <v/>
      </c>
      <c r="H292">
        <f>IF(A292="","",IF(MONTH(A292)&lt;=3,1,IF(MONTH(A292)&lt;=5,2,IF(MONTH(A292)&lt;=8,3,4))))</f>
        <v/>
      </c>
      <c r="I292">
        <f>IF(A292="","",MONTH(A292))</f>
        <v/>
      </c>
    </row>
    <row r="293">
      <c r="A293" s="15" t="n"/>
      <c r="B293" s="16" t="n"/>
      <c r="C293" s="16" t="n"/>
      <c r="D293" s="16" t="n"/>
      <c r="E293" s="18" t="n"/>
      <c r="F293" s="16" t="n"/>
      <c r="G293">
        <f>IF(A293="","",YEAR(A293))</f>
        <v/>
      </c>
      <c r="H293">
        <f>IF(A293="","",IF(MONTH(A293)&lt;=3,1,IF(MONTH(A293)&lt;=5,2,IF(MONTH(A293)&lt;=8,3,4))))</f>
        <v/>
      </c>
      <c r="I293">
        <f>IF(A293="","",MONTH(A293))</f>
        <v/>
      </c>
    </row>
    <row r="294">
      <c r="A294" s="15" t="n"/>
      <c r="B294" s="16" t="n"/>
      <c r="C294" s="16" t="n"/>
      <c r="D294" s="16" t="n"/>
      <c r="E294" s="18" t="n"/>
      <c r="F294" s="16" t="n"/>
      <c r="G294">
        <f>IF(A294="","",YEAR(A294))</f>
        <v/>
      </c>
      <c r="H294">
        <f>IF(A294="","",IF(MONTH(A294)&lt;=3,1,IF(MONTH(A294)&lt;=5,2,IF(MONTH(A294)&lt;=8,3,4))))</f>
        <v/>
      </c>
      <c r="I294">
        <f>IF(A294="","",MONTH(A294))</f>
        <v/>
      </c>
    </row>
    <row r="295">
      <c r="A295" s="15" t="n"/>
      <c r="B295" s="16" t="n"/>
      <c r="C295" s="16" t="n"/>
      <c r="D295" s="16" t="n"/>
      <c r="E295" s="18" t="n"/>
      <c r="F295" s="16" t="n"/>
      <c r="G295">
        <f>IF(A295="","",YEAR(A295))</f>
        <v/>
      </c>
      <c r="H295">
        <f>IF(A295="","",IF(MONTH(A295)&lt;=3,1,IF(MONTH(A295)&lt;=5,2,IF(MONTH(A295)&lt;=8,3,4))))</f>
        <v/>
      </c>
      <c r="I295">
        <f>IF(A295="","",MONTH(A295))</f>
        <v/>
      </c>
    </row>
    <row r="296">
      <c r="A296" s="15" t="n"/>
      <c r="B296" s="16" t="n"/>
      <c r="C296" s="16" t="n"/>
      <c r="D296" s="16" t="n"/>
      <c r="E296" s="18" t="n"/>
      <c r="F296" s="16" t="n"/>
      <c r="G296">
        <f>IF(A296="","",YEAR(A296))</f>
        <v/>
      </c>
      <c r="H296">
        <f>IF(A296="","",IF(MONTH(A296)&lt;=3,1,IF(MONTH(A296)&lt;=5,2,IF(MONTH(A296)&lt;=8,3,4))))</f>
        <v/>
      </c>
      <c r="I296">
        <f>IF(A296="","",MONTH(A296))</f>
        <v/>
      </c>
    </row>
    <row r="297">
      <c r="A297" s="15" t="n"/>
      <c r="B297" s="16" t="n"/>
      <c r="C297" s="16" t="n"/>
      <c r="D297" s="16" t="n"/>
      <c r="E297" s="18" t="n"/>
      <c r="F297" s="16" t="n"/>
      <c r="G297">
        <f>IF(A297="","",YEAR(A297))</f>
        <v/>
      </c>
      <c r="H297">
        <f>IF(A297="","",IF(MONTH(A297)&lt;=3,1,IF(MONTH(A297)&lt;=5,2,IF(MONTH(A297)&lt;=8,3,4))))</f>
        <v/>
      </c>
      <c r="I297">
        <f>IF(A297="","",MONTH(A297))</f>
        <v/>
      </c>
    </row>
    <row r="298">
      <c r="A298" s="15" t="n"/>
      <c r="B298" s="16" t="n"/>
      <c r="C298" s="16" t="n"/>
      <c r="D298" s="16" t="n"/>
      <c r="E298" s="18" t="n"/>
      <c r="F298" s="16" t="n"/>
      <c r="G298">
        <f>IF(A298="","",YEAR(A298))</f>
        <v/>
      </c>
      <c r="H298">
        <f>IF(A298="","",IF(MONTH(A298)&lt;=3,1,IF(MONTH(A298)&lt;=5,2,IF(MONTH(A298)&lt;=8,3,4))))</f>
        <v/>
      </c>
      <c r="I298">
        <f>IF(A298="","",MONTH(A298))</f>
        <v/>
      </c>
    </row>
    <row r="299">
      <c r="A299" s="15" t="n"/>
      <c r="B299" s="16" t="n"/>
      <c r="C299" s="16" t="n"/>
      <c r="D299" s="16" t="n"/>
      <c r="E299" s="18" t="n"/>
      <c r="F299" s="16" t="n"/>
      <c r="G299">
        <f>IF(A299="","",YEAR(A299))</f>
        <v/>
      </c>
      <c r="H299">
        <f>IF(A299="","",IF(MONTH(A299)&lt;=3,1,IF(MONTH(A299)&lt;=5,2,IF(MONTH(A299)&lt;=8,3,4))))</f>
        <v/>
      </c>
      <c r="I299">
        <f>IF(A299="","",MONTH(A299))</f>
        <v/>
      </c>
    </row>
    <row r="300">
      <c r="A300" s="15" t="n"/>
      <c r="B300" s="16" t="n"/>
      <c r="C300" s="16" t="n"/>
      <c r="D300" s="16" t="n"/>
      <c r="E300" s="18" t="n"/>
      <c r="F300" s="16" t="n"/>
      <c r="G300">
        <f>IF(A300="","",YEAR(A300))</f>
        <v/>
      </c>
      <c r="H300">
        <f>IF(A300="","",IF(MONTH(A300)&lt;=3,1,IF(MONTH(A300)&lt;=5,2,IF(MONTH(A300)&lt;=8,3,4))))</f>
        <v/>
      </c>
      <c r="I300">
        <f>IF(A300="","",MONTH(A300))</f>
        <v/>
      </c>
    </row>
    <row r="301">
      <c r="A301" s="15" t="n"/>
      <c r="B301" s="16" t="n"/>
      <c r="C301" s="16" t="n"/>
      <c r="D301" s="16" t="n"/>
      <c r="E301" s="18" t="n"/>
      <c r="F301" s="16" t="n"/>
      <c r="G301">
        <f>IF(A301="","",YEAR(A301))</f>
        <v/>
      </c>
      <c r="H301">
        <f>IF(A301="","",IF(MONTH(A301)&lt;=3,1,IF(MONTH(A301)&lt;=5,2,IF(MONTH(A301)&lt;=8,3,4))))</f>
        <v/>
      </c>
      <c r="I301">
        <f>IF(A301="","",MONTH(A301))</f>
        <v/>
      </c>
    </row>
    <row r="302">
      <c r="A302" s="15" t="n"/>
      <c r="B302" s="16" t="n"/>
      <c r="C302" s="16" t="n"/>
      <c r="D302" s="16" t="n"/>
      <c r="E302" s="18" t="n"/>
      <c r="F302" s="16" t="n"/>
      <c r="G302">
        <f>IF(A302="","",YEAR(A302))</f>
        <v/>
      </c>
      <c r="H302">
        <f>IF(A302="","",IF(MONTH(A302)&lt;=3,1,IF(MONTH(A302)&lt;=5,2,IF(MONTH(A302)&lt;=8,3,4))))</f>
        <v/>
      </c>
      <c r="I302">
        <f>IF(A302="","",MONTH(A302))</f>
        <v/>
      </c>
    </row>
    <row r="303">
      <c r="A303" s="15" t="n"/>
      <c r="B303" s="16" t="n"/>
      <c r="C303" s="16" t="n"/>
      <c r="D303" s="16" t="n"/>
      <c r="E303" s="18" t="n"/>
      <c r="F303" s="16" t="n"/>
      <c r="G303">
        <f>IF(A303="","",YEAR(A303))</f>
        <v/>
      </c>
      <c r="H303">
        <f>IF(A303="","",IF(MONTH(A303)&lt;=3,1,IF(MONTH(A303)&lt;=5,2,IF(MONTH(A303)&lt;=8,3,4))))</f>
        <v/>
      </c>
      <c r="I303">
        <f>IF(A303="","",MONTH(A303))</f>
        <v/>
      </c>
    </row>
    <row r="304">
      <c r="A304" s="15" t="n"/>
      <c r="B304" s="16" t="n"/>
      <c r="C304" s="16" t="n"/>
      <c r="D304" s="16" t="n"/>
      <c r="E304" s="18" t="n"/>
      <c r="F304" s="16" t="n"/>
      <c r="G304">
        <f>IF(A304="","",YEAR(A304))</f>
        <v/>
      </c>
      <c r="H304">
        <f>IF(A304="","",IF(MONTH(A304)&lt;=3,1,IF(MONTH(A304)&lt;=5,2,IF(MONTH(A304)&lt;=8,3,4))))</f>
        <v/>
      </c>
      <c r="I304">
        <f>IF(A304="","",MONTH(A304))</f>
        <v/>
      </c>
    </row>
    <row r="305">
      <c r="A305" s="15" t="n"/>
      <c r="B305" s="16" t="n"/>
      <c r="C305" s="16" t="n"/>
      <c r="D305" s="16" t="n"/>
      <c r="E305" s="18" t="n"/>
      <c r="F305" s="16" t="n"/>
      <c r="G305">
        <f>IF(A305="","",YEAR(A305))</f>
        <v/>
      </c>
      <c r="H305">
        <f>IF(A305="","",IF(MONTH(A305)&lt;=3,1,IF(MONTH(A305)&lt;=5,2,IF(MONTH(A305)&lt;=8,3,4))))</f>
        <v/>
      </c>
      <c r="I305">
        <f>IF(A305="","",MONTH(A305))</f>
        <v/>
      </c>
    </row>
    <row r="306">
      <c r="A306" s="15" t="n"/>
      <c r="B306" s="16" t="n"/>
      <c r="C306" s="16" t="n"/>
      <c r="D306" s="16" t="n"/>
      <c r="E306" s="18" t="n"/>
      <c r="F306" s="16" t="n"/>
      <c r="G306">
        <f>IF(A306="","",YEAR(A306))</f>
        <v/>
      </c>
      <c r="H306">
        <f>IF(A306="","",IF(MONTH(A306)&lt;=3,1,IF(MONTH(A306)&lt;=5,2,IF(MONTH(A306)&lt;=8,3,4))))</f>
        <v/>
      </c>
      <c r="I306">
        <f>IF(A306="","",MONTH(A306))</f>
        <v/>
      </c>
    </row>
    <row r="307">
      <c r="A307" s="15" t="n"/>
      <c r="B307" s="16" t="n"/>
      <c r="C307" s="16" t="n"/>
      <c r="D307" s="16" t="n"/>
      <c r="E307" s="18" t="n"/>
      <c r="F307" s="16" t="n"/>
      <c r="G307">
        <f>IF(A307="","",YEAR(A307))</f>
        <v/>
      </c>
      <c r="H307">
        <f>IF(A307="","",IF(MONTH(A307)&lt;=3,1,IF(MONTH(A307)&lt;=5,2,IF(MONTH(A307)&lt;=8,3,4))))</f>
        <v/>
      </c>
      <c r="I307">
        <f>IF(A307="","",MONTH(A307))</f>
        <v/>
      </c>
    </row>
    <row r="308">
      <c r="A308" s="15" t="n"/>
      <c r="B308" s="16" t="n"/>
      <c r="C308" s="16" t="n"/>
      <c r="D308" s="16" t="n"/>
      <c r="E308" s="18" t="n"/>
      <c r="F308" s="16" t="n"/>
      <c r="G308">
        <f>IF(A308="","",YEAR(A308))</f>
        <v/>
      </c>
      <c r="H308">
        <f>IF(A308="","",IF(MONTH(A308)&lt;=3,1,IF(MONTH(A308)&lt;=5,2,IF(MONTH(A308)&lt;=8,3,4))))</f>
        <v/>
      </c>
      <c r="I308">
        <f>IF(A308="","",MONTH(A308))</f>
        <v/>
      </c>
    </row>
    <row r="309">
      <c r="A309" s="15" t="n"/>
      <c r="B309" s="16" t="n"/>
      <c r="C309" s="16" t="n"/>
      <c r="D309" s="16" t="n"/>
      <c r="E309" s="18" t="n"/>
      <c r="F309" s="16" t="n"/>
      <c r="G309">
        <f>IF(A309="","",YEAR(A309))</f>
        <v/>
      </c>
      <c r="H309">
        <f>IF(A309="","",IF(MONTH(A309)&lt;=3,1,IF(MONTH(A309)&lt;=5,2,IF(MONTH(A309)&lt;=8,3,4))))</f>
        <v/>
      </c>
      <c r="I309">
        <f>IF(A309="","",MONTH(A309))</f>
        <v/>
      </c>
    </row>
    <row r="310">
      <c r="A310" s="15" t="n"/>
      <c r="B310" s="16" t="n"/>
      <c r="C310" s="16" t="n"/>
      <c r="D310" s="16" t="n"/>
      <c r="E310" s="18" t="n"/>
      <c r="F310" s="16" t="n"/>
      <c r="G310">
        <f>IF(A310="","",YEAR(A310))</f>
        <v/>
      </c>
      <c r="H310">
        <f>IF(A310="","",IF(MONTH(A310)&lt;=3,1,IF(MONTH(A310)&lt;=5,2,IF(MONTH(A310)&lt;=8,3,4))))</f>
        <v/>
      </c>
      <c r="I310">
        <f>IF(A310="","",MONTH(A310))</f>
        <v/>
      </c>
    </row>
    <row r="311">
      <c r="A311" s="15" t="n"/>
      <c r="B311" s="16" t="n"/>
      <c r="C311" s="16" t="n"/>
      <c r="D311" s="16" t="n"/>
      <c r="E311" s="18" t="n"/>
      <c r="F311" s="16" t="n"/>
      <c r="G311">
        <f>IF(A311="","",YEAR(A311))</f>
        <v/>
      </c>
      <c r="H311">
        <f>IF(A311="","",IF(MONTH(A311)&lt;=3,1,IF(MONTH(A311)&lt;=5,2,IF(MONTH(A311)&lt;=8,3,4))))</f>
        <v/>
      </c>
      <c r="I311">
        <f>IF(A311="","",MONTH(A311))</f>
        <v/>
      </c>
    </row>
    <row r="312">
      <c r="A312" s="15" t="n"/>
      <c r="B312" s="16" t="n"/>
      <c r="C312" s="16" t="n"/>
      <c r="D312" s="16" t="n"/>
      <c r="E312" s="18" t="n"/>
      <c r="F312" s="16" t="n"/>
      <c r="G312">
        <f>IF(A312="","",YEAR(A312))</f>
        <v/>
      </c>
      <c r="H312">
        <f>IF(A312="","",IF(MONTH(A312)&lt;=3,1,IF(MONTH(A312)&lt;=5,2,IF(MONTH(A312)&lt;=8,3,4))))</f>
        <v/>
      </c>
      <c r="I312">
        <f>IF(A312="","",MONTH(A312))</f>
        <v/>
      </c>
    </row>
    <row r="313">
      <c r="A313" s="15" t="n"/>
      <c r="B313" s="16" t="n"/>
      <c r="C313" s="16" t="n"/>
      <c r="D313" s="16" t="n"/>
      <c r="E313" s="18" t="n"/>
      <c r="F313" s="16" t="n"/>
      <c r="G313">
        <f>IF(A313="","",YEAR(A313))</f>
        <v/>
      </c>
      <c r="H313">
        <f>IF(A313="","",IF(MONTH(A313)&lt;=3,1,IF(MONTH(A313)&lt;=5,2,IF(MONTH(A313)&lt;=8,3,4))))</f>
        <v/>
      </c>
      <c r="I313">
        <f>IF(A313="","",MONTH(A313))</f>
        <v/>
      </c>
    </row>
    <row r="314">
      <c r="A314" s="15" t="n"/>
      <c r="B314" s="16" t="n"/>
      <c r="C314" s="16" t="n"/>
      <c r="D314" s="16" t="n"/>
      <c r="E314" s="18" t="n"/>
      <c r="F314" s="16" t="n"/>
      <c r="G314">
        <f>IF(A314="","",YEAR(A314))</f>
        <v/>
      </c>
      <c r="H314">
        <f>IF(A314="","",IF(MONTH(A314)&lt;=3,1,IF(MONTH(A314)&lt;=5,2,IF(MONTH(A314)&lt;=8,3,4))))</f>
        <v/>
      </c>
      <c r="I314">
        <f>IF(A314="","",MONTH(A314))</f>
        <v/>
      </c>
    </row>
    <row r="315">
      <c r="A315" s="15" t="n"/>
      <c r="B315" s="16" t="n"/>
      <c r="C315" s="16" t="n"/>
      <c r="D315" s="16" t="n"/>
      <c r="E315" s="18" t="n"/>
      <c r="F315" s="16" t="n"/>
      <c r="G315">
        <f>IF(A315="","",YEAR(A315))</f>
        <v/>
      </c>
      <c r="H315">
        <f>IF(A315="","",IF(MONTH(A315)&lt;=3,1,IF(MONTH(A315)&lt;=5,2,IF(MONTH(A315)&lt;=8,3,4))))</f>
        <v/>
      </c>
      <c r="I315">
        <f>IF(A315="","",MONTH(A315))</f>
        <v/>
      </c>
    </row>
    <row r="316">
      <c r="A316" s="15" t="n"/>
      <c r="B316" s="16" t="n"/>
      <c r="C316" s="16" t="n"/>
      <c r="D316" s="16" t="n"/>
      <c r="E316" s="18" t="n"/>
      <c r="F316" s="16" t="n"/>
      <c r="G316">
        <f>IF(A316="","",YEAR(A316))</f>
        <v/>
      </c>
      <c r="H316">
        <f>IF(A316="","",IF(MONTH(A316)&lt;=3,1,IF(MONTH(A316)&lt;=5,2,IF(MONTH(A316)&lt;=8,3,4))))</f>
        <v/>
      </c>
      <c r="I316">
        <f>IF(A316="","",MONTH(A316))</f>
        <v/>
      </c>
    </row>
    <row r="317">
      <c r="A317" s="15" t="n"/>
      <c r="B317" s="16" t="n"/>
      <c r="C317" s="16" t="n"/>
      <c r="D317" s="16" t="n"/>
      <c r="E317" s="18" t="n"/>
      <c r="F317" s="16" t="n"/>
      <c r="G317">
        <f>IF(A317="","",YEAR(A317))</f>
        <v/>
      </c>
      <c r="H317">
        <f>IF(A317="","",IF(MONTH(A317)&lt;=3,1,IF(MONTH(A317)&lt;=5,2,IF(MONTH(A317)&lt;=8,3,4))))</f>
        <v/>
      </c>
      <c r="I317">
        <f>IF(A317="","",MONTH(A317))</f>
        <v/>
      </c>
    </row>
    <row r="318">
      <c r="A318" s="15" t="n"/>
      <c r="B318" s="16" t="n"/>
      <c r="C318" s="16" t="n"/>
      <c r="D318" s="16" t="n"/>
      <c r="E318" s="18" t="n"/>
      <c r="F318" s="16" t="n"/>
      <c r="G318">
        <f>IF(A318="","",YEAR(A318))</f>
        <v/>
      </c>
      <c r="H318">
        <f>IF(A318="","",IF(MONTH(A318)&lt;=3,1,IF(MONTH(A318)&lt;=5,2,IF(MONTH(A318)&lt;=8,3,4))))</f>
        <v/>
      </c>
      <c r="I318">
        <f>IF(A318="","",MONTH(A318))</f>
        <v/>
      </c>
    </row>
    <row r="319">
      <c r="A319" s="15" t="n"/>
      <c r="B319" s="16" t="n"/>
      <c r="C319" s="16" t="n"/>
      <c r="D319" s="16" t="n"/>
      <c r="E319" s="18" t="n"/>
      <c r="F319" s="16" t="n"/>
      <c r="G319">
        <f>IF(A319="","",YEAR(A319))</f>
        <v/>
      </c>
      <c r="H319">
        <f>IF(A319="","",IF(MONTH(A319)&lt;=3,1,IF(MONTH(A319)&lt;=5,2,IF(MONTH(A319)&lt;=8,3,4))))</f>
        <v/>
      </c>
      <c r="I319">
        <f>IF(A319="","",MONTH(A319))</f>
        <v/>
      </c>
    </row>
    <row r="320">
      <c r="A320" s="15" t="n"/>
      <c r="B320" s="16" t="n"/>
      <c r="C320" s="16" t="n"/>
      <c r="D320" s="16" t="n"/>
      <c r="E320" s="18" t="n"/>
      <c r="F320" s="16" t="n"/>
      <c r="G320">
        <f>IF(A320="","",YEAR(A320))</f>
        <v/>
      </c>
      <c r="H320">
        <f>IF(A320="","",IF(MONTH(A320)&lt;=3,1,IF(MONTH(A320)&lt;=5,2,IF(MONTH(A320)&lt;=8,3,4))))</f>
        <v/>
      </c>
      <c r="I320">
        <f>IF(A320="","",MONTH(A320))</f>
        <v/>
      </c>
    </row>
    <row r="321">
      <c r="A321" s="15" t="n"/>
      <c r="B321" s="16" t="n"/>
      <c r="C321" s="16" t="n"/>
      <c r="D321" s="16" t="n"/>
      <c r="E321" s="18" t="n"/>
      <c r="F321" s="16" t="n"/>
      <c r="G321">
        <f>IF(A321="","",YEAR(A321))</f>
        <v/>
      </c>
      <c r="H321">
        <f>IF(A321="","",IF(MONTH(A321)&lt;=3,1,IF(MONTH(A321)&lt;=5,2,IF(MONTH(A321)&lt;=8,3,4))))</f>
        <v/>
      </c>
      <c r="I321">
        <f>IF(A321="","",MONTH(A321))</f>
        <v/>
      </c>
    </row>
    <row r="322">
      <c r="A322" s="15" t="n"/>
      <c r="B322" s="16" t="n"/>
      <c r="C322" s="16" t="n"/>
      <c r="D322" s="16" t="n"/>
      <c r="E322" s="18" t="n"/>
      <c r="F322" s="16" t="n"/>
      <c r="G322">
        <f>IF(A322="","",YEAR(A322))</f>
        <v/>
      </c>
      <c r="H322">
        <f>IF(A322="","",IF(MONTH(A322)&lt;=3,1,IF(MONTH(A322)&lt;=5,2,IF(MONTH(A322)&lt;=8,3,4))))</f>
        <v/>
      </c>
      <c r="I322">
        <f>IF(A322="","",MONTH(A322))</f>
        <v/>
      </c>
    </row>
    <row r="323">
      <c r="A323" s="15" t="n"/>
      <c r="B323" s="16" t="n"/>
      <c r="C323" s="16" t="n"/>
      <c r="D323" s="16" t="n"/>
      <c r="E323" s="18" t="n"/>
      <c r="F323" s="16" t="n"/>
      <c r="G323">
        <f>IF(A323="","",YEAR(A323))</f>
        <v/>
      </c>
      <c r="H323">
        <f>IF(A323="","",IF(MONTH(A323)&lt;=3,1,IF(MONTH(A323)&lt;=5,2,IF(MONTH(A323)&lt;=8,3,4))))</f>
        <v/>
      </c>
      <c r="I323">
        <f>IF(A323="","",MONTH(A323))</f>
        <v/>
      </c>
    </row>
    <row r="324">
      <c r="A324" s="15" t="n"/>
      <c r="B324" s="16" t="n"/>
      <c r="C324" s="16" t="n"/>
      <c r="D324" s="16" t="n"/>
      <c r="E324" s="18" t="n"/>
      <c r="F324" s="16" t="n"/>
      <c r="G324">
        <f>IF(A324="","",YEAR(A324))</f>
        <v/>
      </c>
      <c r="H324">
        <f>IF(A324="","",IF(MONTH(A324)&lt;=3,1,IF(MONTH(A324)&lt;=5,2,IF(MONTH(A324)&lt;=8,3,4))))</f>
        <v/>
      </c>
      <c r="I324">
        <f>IF(A324="","",MONTH(A324))</f>
        <v/>
      </c>
    </row>
    <row r="325">
      <c r="A325" s="15" t="n"/>
      <c r="B325" s="16" t="n"/>
      <c r="C325" s="16" t="n"/>
      <c r="D325" s="16" t="n"/>
      <c r="E325" s="18" t="n"/>
      <c r="F325" s="16" t="n"/>
      <c r="G325">
        <f>IF(A325="","",YEAR(A325))</f>
        <v/>
      </c>
      <c r="H325">
        <f>IF(A325="","",IF(MONTH(A325)&lt;=3,1,IF(MONTH(A325)&lt;=5,2,IF(MONTH(A325)&lt;=8,3,4))))</f>
        <v/>
      </c>
      <c r="I325">
        <f>IF(A325="","",MONTH(A325))</f>
        <v/>
      </c>
    </row>
    <row r="326">
      <c r="A326" s="15" t="n"/>
      <c r="B326" s="16" t="n"/>
      <c r="C326" s="16" t="n"/>
      <c r="D326" s="16" t="n"/>
      <c r="E326" s="18" t="n"/>
      <c r="F326" s="16" t="n"/>
      <c r="G326">
        <f>IF(A326="","",YEAR(A326))</f>
        <v/>
      </c>
      <c r="H326">
        <f>IF(A326="","",IF(MONTH(A326)&lt;=3,1,IF(MONTH(A326)&lt;=5,2,IF(MONTH(A326)&lt;=8,3,4))))</f>
        <v/>
      </c>
      <c r="I326">
        <f>IF(A326="","",MONTH(A326))</f>
        <v/>
      </c>
    </row>
    <row r="327">
      <c r="A327" s="15" t="n"/>
      <c r="B327" s="16" t="n"/>
      <c r="C327" s="16" t="n"/>
      <c r="D327" s="16" t="n"/>
      <c r="E327" s="18" t="n"/>
      <c r="F327" s="16" t="n"/>
      <c r="G327">
        <f>IF(A327="","",YEAR(A327))</f>
        <v/>
      </c>
      <c r="H327">
        <f>IF(A327="","",IF(MONTH(A327)&lt;=3,1,IF(MONTH(A327)&lt;=5,2,IF(MONTH(A327)&lt;=8,3,4))))</f>
        <v/>
      </c>
      <c r="I327">
        <f>IF(A327="","",MONTH(A327))</f>
        <v/>
      </c>
    </row>
    <row r="328">
      <c r="A328" s="15" t="n"/>
      <c r="B328" s="16" t="n"/>
      <c r="C328" s="16" t="n"/>
      <c r="D328" s="16" t="n"/>
      <c r="E328" s="18" t="n"/>
      <c r="F328" s="16" t="n"/>
      <c r="G328">
        <f>IF(A328="","",YEAR(A328))</f>
        <v/>
      </c>
      <c r="H328">
        <f>IF(A328="","",IF(MONTH(A328)&lt;=3,1,IF(MONTH(A328)&lt;=5,2,IF(MONTH(A328)&lt;=8,3,4))))</f>
        <v/>
      </c>
      <c r="I328">
        <f>IF(A328="","",MONTH(A328))</f>
        <v/>
      </c>
    </row>
    <row r="329">
      <c r="A329" s="15" t="n"/>
      <c r="B329" s="16" t="n"/>
      <c r="C329" s="16" t="n"/>
      <c r="D329" s="16" t="n"/>
      <c r="E329" s="18" t="n"/>
      <c r="F329" s="16" t="n"/>
      <c r="G329">
        <f>IF(A329="","",YEAR(A329))</f>
        <v/>
      </c>
      <c r="H329">
        <f>IF(A329="","",IF(MONTH(A329)&lt;=3,1,IF(MONTH(A329)&lt;=5,2,IF(MONTH(A329)&lt;=8,3,4))))</f>
        <v/>
      </c>
      <c r="I329">
        <f>IF(A329="","",MONTH(A329))</f>
        <v/>
      </c>
    </row>
    <row r="330">
      <c r="A330" s="15" t="n"/>
      <c r="B330" s="16" t="n"/>
      <c r="C330" s="16" t="n"/>
      <c r="D330" s="16" t="n"/>
      <c r="E330" s="18" t="n"/>
      <c r="F330" s="16" t="n"/>
      <c r="G330">
        <f>IF(A330="","",YEAR(A330))</f>
        <v/>
      </c>
      <c r="H330">
        <f>IF(A330="","",IF(MONTH(A330)&lt;=3,1,IF(MONTH(A330)&lt;=5,2,IF(MONTH(A330)&lt;=8,3,4))))</f>
        <v/>
      </c>
      <c r="I330">
        <f>IF(A330="","",MONTH(A330))</f>
        <v/>
      </c>
    </row>
    <row r="331">
      <c r="A331" s="15" t="n"/>
      <c r="B331" s="16" t="n"/>
      <c r="C331" s="16" t="n"/>
      <c r="D331" s="16" t="n"/>
      <c r="E331" s="18" t="n"/>
      <c r="F331" s="16" t="n"/>
      <c r="G331">
        <f>IF(A331="","",YEAR(A331))</f>
        <v/>
      </c>
      <c r="H331">
        <f>IF(A331="","",IF(MONTH(A331)&lt;=3,1,IF(MONTH(A331)&lt;=5,2,IF(MONTH(A331)&lt;=8,3,4))))</f>
        <v/>
      </c>
      <c r="I331">
        <f>IF(A331="","",MONTH(A331))</f>
        <v/>
      </c>
    </row>
    <row r="332">
      <c r="A332" s="15" t="n"/>
      <c r="B332" s="16" t="n"/>
      <c r="C332" s="16" t="n"/>
      <c r="D332" s="16" t="n"/>
      <c r="E332" s="18" t="n"/>
      <c r="F332" s="16" t="n"/>
      <c r="G332">
        <f>IF(A332="","",YEAR(A332))</f>
        <v/>
      </c>
      <c r="H332">
        <f>IF(A332="","",IF(MONTH(A332)&lt;=3,1,IF(MONTH(A332)&lt;=5,2,IF(MONTH(A332)&lt;=8,3,4))))</f>
        <v/>
      </c>
      <c r="I332">
        <f>IF(A332="","",MONTH(A332))</f>
        <v/>
      </c>
    </row>
    <row r="333">
      <c r="A333" s="15" t="n"/>
      <c r="B333" s="16" t="n"/>
      <c r="C333" s="16" t="n"/>
      <c r="D333" s="16" t="n"/>
      <c r="E333" s="18" t="n"/>
      <c r="F333" s="16" t="n"/>
      <c r="G333">
        <f>IF(A333="","",YEAR(A333))</f>
        <v/>
      </c>
      <c r="H333">
        <f>IF(A333="","",IF(MONTH(A333)&lt;=3,1,IF(MONTH(A333)&lt;=5,2,IF(MONTH(A333)&lt;=8,3,4))))</f>
        <v/>
      </c>
      <c r="I333">
        <f>IF(A333="","",MONTH(A333))</f>
        <v/>
      </c>
    </row>
    <row r="334">
      <c r="A334" s="15" t="n"/>
      <c r="B334" s="16" t="n"/>
      <c r="C334" s="16" t="n"/>
      <c r="D334" s="16" t="n"/>
      <c r="E334" s="18" t="n"/>
      <c r="F334" s="16" t="n"/>
      <c r="G334">
        <f>IF(A334="","",YEAR(A334))</f>
        <v/>
      </c>
      <c r="H334">
        <f>IF(A334="","",IF(MONTH(A334)&lt;=3,1,IF(MONTH(A334)&lt;=5,2,IF(MONTH(A334)&lt;=8,3,4))))</f>
        <v/>
      </c>
      <c r="I334">
        <f>IF(A334="","",MONTH(A334))</f>
        <v/>
      </c>
    </row>
    <row r="335">
      <c r="A335" s="15" t="n"/>
      <c r="B335" s="16" t="n"/>
      <c r="C335" s="16" t="n"/>
      <c r="D335" s="16" t="n"/>
      <c r="E335" s="18" t="n"/>
      <c r="F335" s="16" t="n"/>
      <c r="G335">
        <f>IF(A335="","",YEAR(A335))</f>
        <v/>
      </c>
      <c r="H335">
        <f>IF(A335="","",IF(MONTH(A335)&lt;=3,1,IF(MONTH(A335)&lt;=5,2,IF(MONTH(A335)&lt;=8,3,4))))</f>
        <v/>
      </c>
      <c r="I335">
        <f>IF(A335="","",MONTH(A335))</f>
        <v/>
      </c>
    </row>
    <row r="336">
      <c r="A336" s="15" t="n"/>
      <c r="B336" s="16" t="n"/>
      <c r="C336" s="16" t="n"/>
      <c r="D336" s="16" t="n"/>
      <c r="E336" s="18" t="n"/>
      <c r="F336" s="16" t="n"/>
      <c r="G336">
        <f>IF(A336="","",YEAR(A336))</f>
        <v/>
      </c>
      <c r="H336">
        <f>IF(A336="","",IF(MONTH(A336)&lt;=3,1,IF(MONTH(A336)&lt;=5,2,IF(MONTH(A336)&lt;=8,3,4))))</f>
        <v/>
      </c>
      <c r="I336">
        <f>IF(A336="","",MONTH(A336))</f>
        <v/>
      </c>
    </row>
    <row r="337">
      <c r="A337" s="15" t="n"/>
      <c r="B337" s="16" t="n"/>
      <c r="C337" s="16" t="n"/>
      <c r="D337" s="16" t="n"/>
      <c r="E337" s="18" t="n"/>
      <c r="F337" s="16" t="n"/>
      <c r="G337">
        <f>IF(A337="","",YEAR(A337))</f>
        <v/>
      </c>
      <c r="H337">
        <f>IF(A337="","",IF(MONTH(A337)&lt;=3,1,IF(MONTH(A337)&lt;=5,2,IF(MONTH(A337)&lt;=8,3,4))))</f>
        <v/>
      </c>
      <c r="I337">
        <f>IF(A337="","",MONTH(A337))</f>
        <v/>
      </c>
    </row>
    <row r="338">
      <c r="A338" s="15" t="n"/>
      <c r="B338" s="16" t="n"/>
      <c r="C338" s="16" t="n"/>
      <c r="D338" s="16" t="n"/>
      <c r="E338" s="18" t="n"/>
      <c r="F338" s="16" t="n"/>
      <c r="G338">
        <f>IF(A338="","",YEAR(A338))</f>
        <v/>
      </c>
      <c r="H338">
        <f>IF(A338="","",IF(MONTH(A338)&lt;=3,1,IF(MONTH(A338)&lt;=5,2,IF(MONTH(A338)&lt;=8,3,4))))</f>
        <v/>
      </c>
      <c r="I338">
        <f>IF(A338="","",MONTH(A338))</f>
        <v/>
      </c>
    </row>
    <row r="339">
      <c r="A339" s="15" t="n"/>
      <c r="B339" s="16" t="n"/>
      <c r="C339" s="16" t="n"/>
      <c r="D339" s="16" t="n"/>
      <c r="E339" s="18" t="n"/>
      <c r="F339" s="16" t="n"/>
      <c r="G339">
        <f>IF(A339="","",YEAR(A339))</f>
        <v/>
      </c>
      <c r="H339">
        <f>IF(A339="","",IF(MONTH(A339)&lt;=3,1,IF(MONTH(A339)&lt;=5,2,IF(MONTH(A339)&lt;=8,3,4))))</f>
        <v/>
      </c>
      <c r="I339">
        <f>IF(A339="","",MONTH(A339))</f>
        <v/>
      </c>
    </row>
    <row r="340">
      <c r="A340" s="15" t="n"/>
      <c r="B340" s="16" t="n"/>
      <c r="C340" s="16" t="n"/>
      <c r="D340" s="16" t="n"/>
      <c r="E340" s="18" t="n"/>
      <c r="F340" s="16" t="n"/>
      <c r="G340">
        <f>IF(A340="","",YEAR(A340))</f>
        <v/>
      </c>
      <c r="H340">
        <f>IF(A340="","",IF(MONTH(A340)&lt;=3,1,IF(MONTH(A340)&lt;=5,2,IF(MONTH(A340)&lt;=8,3,4))))</f>
        <v/>
      </c>
      <c r="I340">
        <f>IF(A340="","",MONTH(A340))</f>
        <v/>
      </c>
    </row>
    <row r="341">
      <c r="A341" s="15" t="n"/>
      <c r="B341" s="16" t="n"/>
      <c r="C341" s="16" t="n"/>
      <c r="D341" s="16" t="n"/>
      <c r="E341" s="18" t="n"/>
      <c r="F341" s="16" t="n"/>
      <c r="G341">
        <f>IF(A341="","",YEAR(A341))</f>
        <v/>
      </c>
      <c r="H341">
        <f>IF(A341="","",IF(MONTH(A341)&lt;=3,1,IF(MONTH(A341)&lt;=5,2,IF(MONTH(A341)&lt;=8,3,4))))</f>
        <v/>
      </c>
      <c r="I341">
        <f>IF(A341="","",MONTH(A341))</f>
        <v/>
      </c>
    </row>
    <row r="342">
      <c r="A342" s="15" t="n"/>
      <c r="B342" s="16" t="n"/>
      <c r="C342" s="16" t="n"/>
      <c r="D342" s="16" t="n"/>
      <c r="E342" s="18" t="n"/>
      <c r="F342" s="16" t="n"/>
      <c r="G342">
        <f>IF(A342="","",YEAR(A342))</f>
        <v/>
      </c>
      <c r="H342">
        <f>IF(A342="","",IF(MONTH(A342)&lt;=3,1,IF(MONTH(A342)&lt;=5,2,IF(MONTH(A342)&lt;=8,3,4))))</f>
        <v/>
      </c>
      <c r="I342">
        <f>IF(A342="","",MONTH(A342))</f>
        <v/>
      </c>
    </row>
    <row r="343">
      <c r="A343" s="15" t="n"/>
      <c r="B343" s="16" t="n"/>
      <c r="C343" s="16" t="n"/>
      <c r="D343" s="16" t="n"/>
      <c r="E343" s="18" t="n"/>
      <c r="F343" s="16" t="n"/>
      <c r="G343">
        <f>IF(A343="","",YEAR(A343))</f>
        <v/>
      </c>
      <c r="H343">
        <f>IF(A343="","",IF(MONTH(A343)&lt;=3,1,IF(MONTH(A343)&lt;=5,2,IF(MONTH(A343)&lt;=8,3,4))))</f>
        <v/>
      </c>
      <c r="I343">
        <f>IF(A343="","",MONTH(A343))</f>
        <v/>
      </c>
    </row>
    <row r="344">
      <c r="A344" s="15" t="n"/>
      <c r="B344" s="16" t="n"/>
      <c r="C344" s="16" t="n"/>
      <c r="D344" s="16" t="n"/>
      <c r="E344" s="18" t="n"/>
      <c r="F344" s="16" t="n"/>
      <c r="G344">
        <f>IF(A344="","",YEAR(A344))</f>
        <v/>
      </c>
      <c r="H344">
        <f>IF(A344="","",IF(MONTH(A344)&lt;=3,1,IF(MONTH(A344)&lt;=5,2,IF(MONTH(A344)&lt;=8,3,4))))</f>
        <v/>
      </c>
      <c r="I344">
        <f>IF(A344="","",MONTH(A344))</f>
        <v/>
      </c>
    </row>
    <row r="345">
      <c r="A345" s="15" t="n"/>
      <c r="B345" s="16" t="n"/>
      <c r="C345" s="16" t="n"/>
      <c r="D345" s="16" t="n"/>
      <c r="E345" s="18" t="n"/>
      <c r="F345" s="16" t="n"/>
      <c r="G345">
        <f>IF(A345="","",YEAR(A345))</f>
        <v/>
      </c>
      <c r="H345">
        <f>IF(A345="","",IF(MONTH(A345)&lt;=3,1,IF(MONTH(A345)&lt;=5,2,IF(MONTH(A345)&lt;=8,3,4))))</f>
        <v/>
      </c>
      <c r="I345">
        <f>IF(A345="","",MONTH(A345))</f>
        <v/>
      </c>
    </row>
    <row r="346">
      <c r="A346" s="15" t="n"/>
      <c r="B346" s="16" t="n"/>
      <c r="C346" s="16" t="n"/>
      <c r="D346" s="16" t="n"/>
      <c r="E346" s="18" t="n"/>
      <c r="F346" s="16" t="n"/>
      <c r="G346">
        <f>IF(A346="","",YEAR(A346))</f>
        <v/>
      </c>
      <c r="H346">
        <f>IF(A346="","",IF(MONTH(A346)&lt;=3,1,IF(MONTH(A346)&lt;=5,2,IF(MONTH(A346)&lt;=8,3,4))))</f>
        <v/>
      </c>
      <c r="I346">
        <f>IF(A346="","",MONTH(A346))</f>
        <v/>
      </c>
    </row>
    <row r="347">
      <c r="A347" s="15" t="n"/>
      <c r="B347" s="16" t="n"/>
      <c r="C347" s="16" t="n"/>
      <c r="D347" s="16" t="n"/>
      <c r="E347" s="18" t="n"/>
      <c r="F347" s="16" t="n"/>
      <c r="G347">
        <f>IF(A347="","",YEAR(A347))</f>
        <v/>
      </c>
      <c r="H347">
        <f>IF(A347="","",IF(MONTH(A347)&lt;=3,1,IF(MONTH(A347)&lt;=5,2,IF(MONTH(A347)&lt;=8,3,4))))</f>
        <v/>
      </c>
      <c r="I347">
        <f>IF(A347="","",MONTH(A347))</f>
        <v/>
      </c>
    </row>
    <row r="348">
      <c r="A348" s="15" t="n"/>
      <c r="B348" s="16" t="n"/>
      <c r="C348" s="16" t="n"/>
      <c r="D348" s="16" t="n"/>
      <c r="E348" s="18" t="n"/>
      <c r="F348" s="16" t="n"/>
      <c r="G348">
        <f>IF(A348="","",YEAR(A348))</f>
        <v/>
      </c>
      <c r="H348">
        <f>IF(A348="","",IF(MONTH(A348)&lt;=3,1,IF(MONTH(A348)&lt;=5,2,IF(MONTH(A348)&lt;=8,3,4))))</f>
        <v/>
      </c>
      <c r="I348">
        <f>IF(A348="","",MONTH(A348))</f>
        <v/>
      </c>
    </row>
    <row r="349">
      <c r="A349" s="15" t="n"/>
      <c r="B349" s="16" t="n"/>
      <c r="C349" s="16" t="n"/>
      <c r="D349" s="16" t="n"/>
      <c r="E349" s="18" t="n"/>
      <c r="F349" s="16" t="n"/>
      <c r="G349">
        <f>IF(A349="","",YEAR(A349))</f>
        <v/>
      </c>
      <c r="H349">
        <f>IF(A349="","",IF(MONTH(A349)&lt;=3,1,IF(MONTH(A349)&lt;=5,2,IF(MONTH(A349)&lt;=8,3,4))))</f>
        <v/>
      </c>
      <c r="I349">
        <f>IF(A349="","",MONTH(A349))</f>
        <v/>
      </c>
    </row>
    <row r="350">
      <c r="A350" s="15" t="n"/>
      <c r="B350" s="16" t="n"/>
      <c r="C350" s="16" t="n"/>
      <c r="D350" s="16" t="n"/>
      <c r="E350" s="18" t="n"/>
      <c r="F350" s="16" t="n"/>
      <c r="G350">
        <f>IF(A350="","",YEAR(A350))</f>
        <v/>
      </c>
      <c r="H350">
        <f>IF(A350="","",IF(MONTH(A350)&lt;=3,1,IF(MONTH(A350)&lt;=5,2,IF(MONTH(A350)&lt;=8,3,4))))</f>
        <v/>
      </c>
      <c r="I350">
        <f>IF(A350="","",MONTH(A350))</f>
        <v/>
      </c>
    </row>
    <row r="351">
      <c r="A351" s="15" t="n"/>
      <c r="B351" s="16" t="n"/>
      <c r="C351" s="16" t="n"/>
      <c r="D351" s="16" t="n"/>
      <c r="E351" s="18" t="n"/>
      <c r="F351" s="16" t="n"/>
      <c r="G351">
        <f>IF(A351="","",YEAR(A351))</f>
        <v/>
      </c>
      <c r="H351">
        <f>IF(A351="","",IF(MONTH(A351)&lt;=3,1,IF(MONTH(A351)&lt;=5,2,IF(MONTH(A351)&lt;=8,3,4))))</f>
        <v/>
      </c>
      <c r="I351">
        <f>IF(A351="","",MONTH(A351))</f>
        <v/>
      </c>
    </row>
    <row r="352">
      <c r="A352" s="15" t="n"/>
      <c r="B352" s="16" t="n"/>
      <c r="C352" s="16" t="n"/>
      <c r="D352" s="16" t="n"/>
      <c r="E352" s="18" t="n"/>
      <c r="F352" s="16" t="n"/>
      <c r="G352">
        <f>IF(A352="","",YEAR(A352))</f>
        <v/>
      </c>
      <c r="H352">
        <f>IF(A352="","",IF(MONTH(A352)&lt;=3,1,IF(MONTH(A352)&lt;=5,2,IF(MONTH(A352)&lt;=8,3,4))))</f>
        <v/>
      </c>
      <c r="I352">
        <f>IF(A352="","",MONTH(A352))</f>
        <v/>
      </c>
    </row>
    <row r="353">
      <c r="A353" s="15" t="n"/>
      <c r="B353" s="16" t="n"/>
      <c r="C353" s="16" t="n"/>
      <c r="D353" s="16" t="n"/>
      <c r="E353" s="18" t="n"/>
      <c r="F353" s="16" t="n"/>
      <c r="G353">
        <f>IF(A353="","",YEAR(A353))</f>
        <v/>
      </c>
      <c r="H353">
        <f>IF(A353="","",IF(MONTH(A353)&lt;=3,1,IF(MONTH(A353)&lt;=5,2,IF(MONTH(A353)&lt;=8,3,4))))</f>
        <v/>
      </c>
      <c r="I353">
        <f>IF(A353="","",MONTH(A353))</f>
        <v/>
      </c>
    </row>
    <row r="354">
      <c r="A354" s="15" t="n"/>
      <c r="B354" s="16" t="n"/>
      <c r="C354" s="16" t="n"/>
      <c r="D354" s="16" t="n"/>
      <c r="E354" s="18" t="n"/>
      <c r="F354" s="16" t="n"/>
      <c r="G354">
        <f>IF(A354="","",YEAR(A354))</f>
        <v/>
      </c>
      <c r="H354">
        <f>IF(A354="","",IF(MONTH(A354)&lt;=3,1,IF(MONTH(A354)&lt;=5,2,IF(MONTH(A354)&lt;=8,3,4))))</f>
        <v/>
      </c>
      <c r="I354">
        <f>IF(A354="","",MONTH(A354))</f>
        <v/>
      </c>
    </row>
    <row r="355">
      <c r="A355" s="15" t="n"/>
      <c r="B355" s="16" t="n"/>
      <c r="C355" s="16" t="n"/>
      <c r="D355" s="16" t="n"/>
      <c r="E355" s="18" t="n"/>
      <c r="F355" s="16" t="n"/>
      <c r="G355">
        <f>IF(A355="","",YEAR(A355))</f>
        <v/>
      </c>
      <c r="H355">
        <f>IF(A355="","",IF(MONTH(A355)&lt;=3,1,IF(MONTH(A355)&lt;=5,2,IF(MONTH(A355)&lt;=8,3,4))))</f>
        <v/>
      </c>
      <c r="I355">
        <f>IF(A355="","",MONTH(A355))</f>
        <v/>
      </c>
    </row>
    <row r="356">
      <c r="A356" s="15" t="n"/>
      <c r="B356" s="16" t="n"/>
      <c r="C356" s="16" t="n"/>
      <c r="D356" s="16" t="n"/>
      <c r="E356" s="18" t="n"/>
      <c r="F356" s="16" t="n"/>
      <c r="G356">
        <f>IF(A356="","",YEAR(A356))</f>
        <v/>
      </c>
      <c r="H356">
        <f>IF(A356="","",IF(MONTH(A356)&lt;=3,1,IF(MONTH(A356)&lt;=5,2,IF(MONTH(A356)&lt;=8,3,4))))</f>
        <v/>
      </c>
      <c r="I356">
        <f>IF(A356="","",MONTH(A356))</f>
        <v/>
      </c>
    </row>
    <row r="357">
      <c r="A357" s="15" t="n"/>
      <c r="B357" s="16" t="n"/>
      <c r="C357" s="16" t="n"/>
      <c r="D357" s="16" t="n"/>
      <c r="E357" s="18" t="n"/>
      <c r="F357" s="16" t="n"/>
      <c r="G357">
        <f>IF(A357="","",YEAR(A357))</f>
        <v/>
      </c>
      <c r="H357">
        <f>IF(A357="","",IF(MONTH(A357)&lt;=3,1,IF(MONTH(A357)&lt;=5,2,IF(MONTH(A357)&lt;=8,3,4))))</f>
        <v/>
      </c>
      <c r="I357">
        <f>IF(A357="","",MONTH(A357))</f>
        <v/>
      </c>
    </row>
    <row r="358">
      <c r="A358" s="15" t="n"/>
      <c r="B358" s="16" t="n"/>
      <c r="C358" s="16" t="n"/>
      <c r="D358" s="16" t="n"/>
      <c r="E358" s="18" t="n"/>
      <c r="F358" s="16" t="n"/>
      <c r="G358">
        <f>IF(A358="","",YEAR(A358))</f>
        <v/>
      </c>
      <c r="H358">
        <f>IF(A358="","",IF(MONTH(A358)&lt;=3,1,IF(MONTH(A358)&lt;=5,2,IF(MONTH(A358)&lt;=8,3,4))))</f>
        <v/>
      </c>
      <c r="I358">
        <f>IF(A358="","",MONTH(A358))</f>
        <v/>
      </c>
    </row>
    <row r="359">
      <c r="A359" s="15" t="n"/>
      <c r="B359" s="16" t="n"/>
      <c r="C359" s="16" t="n"/>
      <c r="D359" s="16" t="n"/>
      <c r="E359" s="18" t="n"/>
      <c r="F359" s="16" t="n"/>
      <c r="G359">
        <f>IF(A359="","",YEAR(A359))</f>
        <v/>
      </c>
      <c r="H359">
        <f>IF(A359="","",IF(MONTH(A359)&lt;=3,1,IF(MONTH(A359)&lt;=5,2,IF(MONTH(A359)&lt;=8,3,4))))</f>
        <v/>
      </c>
      <c r="I359">
        <f>IF(A359="","",MONTH(A359))</f>
        <v/>
      </c>
    </row>
    <row r="360">
      <c r="A360" s="15" t="n"/>
      <c r="B360" s="16" t="n"/>
      <c r="C360" s="16" t="n"/>
      <c r="D360" s="16" t="n"/>
      <c r="E360" s="18" t="n"/>
      <c r="F360" s="16" t="n"/>
      <c r="G360">
        <f>IF(A360="","",YEAR(A360))</f>
        <v/>
      </c>
      <c r="H360">
        <f>IF(A360="","",IF(MONTH(A360)&lt;=3,1,IF(MONTH(A360)&lt;=5,2,IF(MONTH(A360)&lt;=8,3,4))))</f>
        <v/>
      </c>
      <c r="I360">
        <f>IF(A360="","",MONTH(A360))</f>
        <v/>
      </c>
    </row>
    <row r="361">
      <c r="A361" s="15" t="n"/>
      <c r="B361" s="16" t="n"/>
      <c r="C361" s="16" t="n"/>
      <c r="D361" s="16" t="n"/>
      <c r="E361" s="18" t="n"/>
      <c r="F361" s="16" t="n"/>
      <c r="G361">
        <f>IF(A361="","",YEAR(A361))</f>
        <v/>
      </c>
      <c r="H361">
        <f>IF(A361="","",IF(MONTH(A361)&lt;=3,1,IF(MONTH(A361)&lt;=5,2,IF(MONTH(A361)&lt;=8,3,4))))</f>
        <v/>
      </c>
      <c r="I361">
        <f>IF(A361="","",MONTH(A361))</f>
        <v/>
      </c>
    </row>
    <row r="362">
      <c r="A362" s="15" t="n"/>
      <c r="B362" s="16" t="n"/>
      <c r="C362" s="16" t="n"/>
      <c r="D362" s="16" t="n"/>
      <c r="E362" s="18" t="n"/>
      <c r="F362" s="16" t="n"/>
      <c r="G362">
        <f>IF(A362="","",YEAR(A362))</f>
        <v/>
      </c>
      <c r="H362">
        <f>IF(A362="","",IF(MONTH(A362)&lt;=3,1,IF(MONTH(A362)&lt;=5,2,IF(MONTH(A362)&lt;=8,3,4))))</f>
        <v/>
      </c>
      <c r="I362">
        <f>IF(A362="","",MONTH(A362))</f>
        <v/>
      </c>
    </row>
    <row r="363">
      <c r="A363" s="15" t="n"/>
      <c r="B363" s="16" t="n"/>
      <c r="C363" s="16" t="n"/>
      <c r="D363" s="16" t="n"/>
      <c r="E363" s="18" t="n"/>
      <c r="F363" s="16" t="n"/>
      <c r="G363">
        <f>IF(A363="","",YEAR(A363))</f>
        <v/>
      </c>
      <c r="H363">
        <f>IF(A363="","",IF(MONTH(A363)&lt;=3,1,IF(MONTH(A363)&lt;=5,2,IF(MONTH(A363)&lt;=8,3,4))))</f>
        <v/>
      </c>
      <c r="I363">
        <f>IF(A363="","",MONTH(A363))</f>
        <v/>
      </c>
    </row>
    <row r="364">
      <c r="A364" s="15" t="n"/>
      <c r="B364" s="16" t="n"/>
      <c r="C364" s="16" t="n"/>
      <c r="D364" s="16" t="n"/>
      <c r="E364" s="18" t="n"/>
      <c r="F364" s="16" t="n"/>
      <c r="G364">
        <f>IF(A364="","",YEAR(A364))</f>
        <v/>
      </c>
      <c r="H364">
        <f>IF(A364="","",IF(MONTH(A364)&lt;=3,1,IF(MONTH(A364)&lt;=5,2,IF(MONTH(A364)&lt;=8,3,4))))</f>
        <v/>
      </c>
      <c r="I364">
        <f>IF(A364="","",MONTH(A364))</f>
        <v/>
      </c>
    </row>
    <row r="365">
      <c r="A365" s="15" t="n"/>
      <c r="B365" s="16" t="n"/>
      <c r="C365" s="16" t="n"/>
      <c r="D365" s="16" t="n"/>
      <c r="E365" s="18" t="n"/>
      <c r="F365" s="16" t="n"/>
      <c r="G365">
        <f>IF(A365="","",YEAR(A365))</f>
        <v/>
      </c>
      <c r="H365">
        <f>IF(A365="","",IF(MONTH(A365)&lt;=3,1,IF(MONTH(A365)&lt;=5,2,IF(MONTH(A365)&lt;=8,3,4))))</f>
        <v/>
      </c>
      <c r="I365">
        <f>IF(A365="","",MONTH(A365))</f>
        <v/>
      </c>
    </row>
    <row r="366">
      <c r="A366" s="15" t="n"/>
      <c r="B366" s="16" t="n"/>
      <c r="C366" s="16" t="n"/>
      <c r="D366" s="16" t="n"/>
      <c r="E366" s="18" t="n"/>
      <c r="F366" s="16" t="n"/>
      <c r="G366">
        <f>IF(A366="","",YEAR(A366))</f>
        <v/>
      </c>
      <c r="H366">
        <f>IF(A366="","",IF(MONTH(A366)&lt;=3,1,IF(MONTH(A366)&lt;=5,2,IF(MONTH(A366)&lt;=8,3,4))))</f>
        <v/>
      </c>
      <c r="I366">
        <f>IF(A366="","",MONTH(A366))</f>
        <v/>
      </c>
    </row>
    <row r="367">
      <c r="A367" s="15" t="n"/>
      <c r="B367" s="16" t="n"/>
      <c r="C367" s="16" t="n"/>
      <c r="D367" s="16" t="n"/>
      <c r="E367" s="18" t="n"/>
      <c r="F367" s="16" t="n"/>
      <c r="G367">
        <f>IF(A367="","",YEAR(A367))</f>
        <v/>
      </c>
      <c r="H367">
        <f>IF(A367="","",IF(MONTH(A367)&lt;=3,1,IF(MONTH(A367)&lt;=5,2,IF(MONTH(A367)&lt;=8,3,4))))</f>
        <v/>
      </c>
      <c r="I367">
        <f>IF(A367="","",MONTH(A367))</f>
        <v/>
      </c>
    </row>
    <row r="368">
      <c r="A368" s="15" t="n"/>
      <c r="B368" s="16" t="n"/>
      <c r="C368" s="16" t="n"/>
      <c r="D368" s="16" t="n"/>
      <c r="E368" s="18" t="n"/>
      <c r="F368" s="16" t="n"/>
      <c r="G368">
        <f>IF(A368="","",YEAR(A368))</f>
        <v/>
      </c>
      <c r="H368">
        <f>IF(A368="","",IF(MONTH(A368)&lt;=3,1,IF(MONTH(A368)&lt;=5,2,IF(MONTH(A368)&lt;=8,3,4))))</f>
        <v/>
      </c>
      <c r="I368">
        <f>IF(A368="","",MONTH(A368))</f>
        <v/>
      </c>
    </row>
    <row r="369">
      <c r="A369" s="15" t="n"/>
      <c r="B369" s="16" t="n"/>
      <c r="C369" s="16" t="n"/>
      <c r="D369" s="16" t="n"/>
      <c r="E369" s="18" t="n"/>
      <c r="F369" s="16" t="n"/>
      <c r="G369">
        <f>IF(A369="","",YEAR(A369))</f>
        <v/>
      </c>
      <c r="H369">
        <f>IF(A369="","",IF(MONTH(A369)&lt;=3,1,IF(MONTH(A369)&lt;=5,2,IF(MONTH(A369)&lt;=8,3,4))))</f>
        <v/>
      </c>
      <c r="I369">
        <f>IF(A369="","",MONTH(A369))</f>
        <v/>
      </c>
    </row>
    <row r="370">
      <c r="A370" s="15" t="n"/>
      <c r="B370" s="16" t="n"/>
      <c r="C370" s="16" t="n"/>
      <c r="D370" s="16" t="n"/>
      <c r="E370" s="18" t="n"/>
      <c r="F370" s="16" t="n"/>
      <c r="G370">
        <f>IF(A370="","",YEAR(A370))</f>
        <v/>
      </c>
      <c r="H370">
        <f>IF(A370="","",IF(MONTH(A370)&lt;=3,1,IF(MONTH(A370)&lt;=5,2,IF(MONTH(A370)&lt;=8,3,4))))</f>
        <v/>
      </c>
      <c r="I370">
        <f>IF(A370="","",MONTH(A370))</f>
        <v/>
      </c>
    </row>
    <row r="371">
      <c r="A371" s="15" t="n"/>
      <c r="B371" s="16" t="n"/>
      <c r="C371" s="16" t="n"/>
      <c r="D371" s="16" t="n"/>
      <c r="E371" s="18" t="n"/>
      <c r="F371" s="16" t="n"/>
      <c r="G371">
        <f>IF(A371="","",YEAR(A371))</f>
        <v/>
      </c>
      <c r="H371">
        <f>IF(A371="","",IF(MONTH(A371)&lt;=3,1,IF(MONTH(A371)&lt;=5,2,IF(MONTH(A371)&lt;=8,3,4))))</f>
        <v/>
      </c>
      <c r="I371">
        <f>IF(A371="","",MONTH(A371))</f>
        <v/>
      </c>
    </row>
    <row r="372">
      <c r="A372" s="15" t="n"/>
      <c r="B372" s="16" t="n"/>
      <c r="C372" s="16" t="n"/>
      <c r="D372" s="16" t="n"/>
      <c r="E372" s="18" t="n"/>
      <c r="F372" s="16" t="n"/>
      <c r="G372">
        <f>IF(A372="","",YEAR(A372))</f>
        <v/>
      </c>
      <c r="H372">
        <f>IF(A372="","",IF(MONTH(A372)&lt;=3,1,IF(MONTH(A372)&lt;=5,2,IF(MONTH(A372)&lt;=8,3,4))))</f>
        <v/>
      </c>
      <c r="I372">
        <f>IF(A372="","",MONTH(A372))</f>
        <v/>
      </c>
    </row>
    <row r="373">
      <c r="A373" s="15" t="n"/>
      <c r="B373" s="16" t="n"/>
      <c r="C373" s="16" t="n"/>
      <c r="D373" s="16" t="n"/>
      <c r="E373" s="18" t="n"/>
      <c r="F373" s="16" t="n"/>
      <c r="G373">
        <f>IF(A373="","",YEAR(A373))</f>
        <v/>
      </c>
      <c r="H373">
        <f>IF(A373="","",IF(MONTH(A373)&lt;=3,1,IF(MONTH(A373)&lt;=5,2,IF(MONTH(A373)&lt;=8,3,4))))</f>
        <v/>
      </c>
      <c r="I373">
        <f>IF(A373="","",MONTH(A373))</f>
        <v/>
      </c>
    </row>
    <row r="374">
      <c r="A374" s="15" t="n"/>
      <c r="B374" s="16" t="n"/>
      <c r="C374" s="16" t="n"/>
      <c r="D374" s="16" t="n"/>
      <c r="E374" s="18" t="n"/>
      <c r="F374" s="16" t="n"/>
      <c r="G374">
        <f>IF(A374="","",YEAR(A374))</f>
        <v/>
      </c>
      <c r="H374">
        <f>IF(A374="","",IF(MONTH(A374)&lt;=3,1,IF(MONTH(A374)&lt;=5,2,IF(MONTH(A374)&lt;=8,3,4))))</f>
        <v/>
      </c>
      <c r="I374">
        <f>IF(A374="","",MONTH(A374))</f>
        <v/>
      </c>
    </row>
    <row r="375">
      <c r="A375" s="15" t="n"/>
      <c r="B375" s="16" t="n"/>
      <c r="C375" s="16" t="n"/>
      <c r="D375" s="16" t="n"/>
      <c r="E375" s="18" t="n"/>
      <c r="F375" s="16" t="n"/>
      <c r="G375">
        <f>IF(A375="","",YEAR(A375))</f>
        <v/>
      </c>
      <c r="H375">
        <f>IF(A375="","",IF(MONTH(A375)&lt;=3,1,IF(MONTH(A375)&lt;=5,2,IF(MONTH(A375)&lt;=8,3,4))))</f>
        <v/>
      </c>
      <c r="I375">
        <f>IF(A375="","",MONTH(A375))</f>
        <v/>
      </c>
    </row>
    <row r="376">
      <c r="A376" s="15" t="n"/>
      <c r="B376" s="16" t="n"/>
      <c r="C376" s="16" t="n"/>
      <c r="D376" s="16" t="n"/>
      <c r="E376" s="18" t="n"/>
      <c r="F376" s="16" t="n"/>
      <c r="G376">
        <f>IF(A376="","",YEAR(A376))</f>
        <v/>
      </c>
      <c r="H376">
        <f>IF(A376="","",IF(MONTH(A376)&lt;=3,1,IF(MONTH(A376)&lt;=5,2,IF(MONTH(A376)&lt;=8,3,4))))</f>
        <v/>
      </c>
      <c r="I376">
        <f>IF(A376="","",MONTH(A376))</f>
        <v/>
      </c>
    </row>
    <row r="377">
      <c r="A377" s="15" t="n"/>
      <c r="B377" s="16" t="n"/>
      <c r="C377" s="16" t="n"/>
      <c r="D377" s="16" t="n"/>
      <c r="E377" s="18" t="n"/>
      <c r="F377" s="16" t="n"/>
      <c r="G377">
        <f>IF(A377="","",YEAR(A377))</f>
        <v/>
      </c>
      <c r="H377">
        <f>IF(A377="","",IF(MONTH(A377)&lt;=3,1,IF(MONTH(A377)&lt;=5,2,IF(MONTH(A377)&lt;=8,3,4))))</f>
        <v/>
      </c>
      <c r="I377">
        <f>IF(A377="","",MONTH(A377))</f>
        <v/>
      </c>
    </row>
    <row r="378">
      <c r="A378" s="15" t="n"/>
      <c r="B378" s="16" t="n"/>
      <c r="C378" s="16" t="n"/>
      <c r="D378" s="16" t="n"/>
      <c r="E378" s="18" t="n"/>
      <c r="F378" s="16" t="n"/>
      <c r="G378">
        <f>IF(A378="","",YEAR(A378))</f>
        <v/>
      </c>
      <c r="H378">
        <f>IF(A378="","",IF(MONTH(A378)&lt;=3,1,IF(MONTH(A378)&lt;=5,2,IF(MONTH(A378)&lt;=8,3,4))))</f>
        <v/>
      </c>
      <c r="I378">
        <f>IF(A378="","",MONTH(A378))</f>
        <v/>
      </c>
    </row>
    <row r="379">
      <c r="A379" s="15" t="n"/>
      <c r="B379" s="16" t="n"/>
      <c r="C379" s="16" t="n"/>
      <c r="D379" s="16" t="n"/>
      <c r="E379" s="18" t="n"/>
      <c r="F379" s="16" t="n"/>
      <c r="G379">
        <f>IF(A379="","",YEAR(A379))</f>
        <v/>
      </c>
      <c r="H379">
        <f>IF(A379="","",IF(MONTH(A379)&lt;=3,1,IF(MONTH(A379)&lt;=5,2,IF(MONTH(A379)&lt;=8,3,4))))</f>
        <v/>
      </c>
      <c r="I379">
        <f>IF(A379="","",MONTH(A379))</f>
        <v/>
      </c>
    </row>
    <row r="380">
      <c r="A380" s="15" t="n"/>
      <c r="B380" s="16" t="n"/>
      <c r="C380" s="16" t="n"/>
      <c r="D380" s="16" t="n"/>
      <c r="E380" s="18" t="n"/>
      <c r="F380" s="16" t="n"/>
      <c r="G380">
        <f>IF(A380="","",YEAR(A380))</f>
        <v/>
      </c>
      <c r="H380">
        <f>IF(A380="","",IF(MONTH(A380)&lt;=3,1,IF(MONTH(A380)&lt;=5,2,IF(MONTH(A380)&lt;=8,3,4))))</f>
        <v/>
      </c>
      <c r="I380">
        <f>IF(A380="","",MONTH(A380))</f>
        <v/>
      </c>
    </row>
    <row r="381">
      <c r="A381" s="15" t="n"/>
      <c r="B381" s="16" t="n"/>
      <c r="C381" s="16" t="n"/>
      <c r="D381" s="16" t="n"/>
      <c r="E381" s="18" t="n"/>
      <c r="F381" s="16" t="n"/>
      <c r="G381">
        <f>IF(A381="","",YEAR(A381))</f>
        <v/>
      </c>
      <c r="H381">
        <f>IF(A381="","",IF(MONTH(A381)&lt;=3,1,IF(MONTH(A381)&lt;=5,2,IF(MONTH(A381)&lt;=8,3,4))))</f>
        <v/>
      </c>
      <c r="I381">
        <f>IF(A381="","",MONTH(A381))</f>
        <v/>
      </c>
    </row>
    <row r="382">
      <c r="A382" s="15" t="n"/>
      <c r="B382" s="16" t="n"/>
      <c r="C382" s="16" t="n"/>
      <c r="D382" s="16" t="n"/>
      <c r="E382" s="18" t="n"/>
      <c r="F382" s="16" t="n"/>
      <c r="G382">
        <f>IF(A382="","",YEAR(A382))</f>
        <v/>
      </c>
      <c r="H382">
        <f>IF(A382="","",IF(MONTH(A382)&lt;=3,1,IF(MONTH(A382)&lt;=5,2,IF(MONTH(A382)&lt;=8,3,4))))</f>
        <v/>
      </c>
      <c r="I382">
        <f>IF(A382="","",MONTH(A382))</f>
        <v/>
      </c>
    </row>
    <row r="383">
      <c r="A383" s="15" t="n"/>
      <c r="B383" s="16" t="n"/>
      <c r="C383" s="16" t="n"/>
      <c r="D383" s="16" t="n"/>
      <c r="E383" s="18" t="n"/>
      <c r="F383" s="16" t="n"/>
      <c r="G383">
        <f>IF(A383="","",YEAR(A383))</f>
        <v/>
      </c>
      <c r="H383">
        <f>IF(A383="","",IF(MONTH(A383)&lt;=3,1,IF(MONTH(A383)&lt;=5,2,IF(MONTH(A383)&lt;=8,3,4))))</f>
        <v/>
      </c>
      <c r="I383">
        <f>IF(A383="","",MONTH(A383))</f>
        <v/>
      </c>
    </row>
    <row r="384">
      <c r="A384" s="15" t="n"/>
      <c r="B384" s="16" t="n"/>
      <c r="C384" s="16" t="n"/>
      <c r="D384" s="16" t="n"/>
      <c r="E384" s="18" t="n"/>
      <c r="F384" s="16" t="n"/>
      <c r="G384">
        <f>IF(A384="","",YEAR(A384))</f>
        <v/>
      </c>
      <c r="H384">
        <f>IF(A384="","",IF(MONTH(A384)&lt;=3,1,IF(MONTH(A384)&lt;=5,2,IF(MONTH(A384)&lt;=8,3,4))))</f>
        <v/>
      </c>
      <c r="I384">
        <f>IF(A384="","",MONTH(A384))</f>
        <v/>
      </c>
    </row>
    <row r="385">
      <c r="A385" s="15" t="n"/>
      <c r="B385" s="16" t="n"/>
      <c r="C385" s="16" t="n"/>
      <c r="D385" s="16" t="n"/>
      <c r="E385" s="18" t="n"/>
      <c r="F385" s="16" t="n"/>
      <c r="G385">
        <f>IF(A385="","",YEAR(A385))</f>
        <v/>
      </c>
      <c r="H385">
        <f>IF(A385="","",IF(MONTH(A385)&lt;=3,1,IF(MONTH(A385)&lt;=5,2,IF(MONTH(A385)&lt;=8,3,4))))</f>
        <v/>
      </c>
      <c r="I385">
        <f>IF(A385="","",MONTH(A385))</f>
        <v/>
      </c>
    </row>
    <row r="386">
      <c r="A386" s="15" t="n"/>
      <c r="B386" s="16" t="n"/>
      <c r="C386" s="16" t="n"/>
      <c r="D386" s="16" t="n"/>
      <c r="E386" s="18" t="n"/>
      <c r="F386" s="16" t="n"/>
      <c r="G386">
        <f>IF(A386="","",YEAR(A386))</f>
        <v/>
      </c>
      <c r="H386">
        <f>IF(A386="","",IF(MONTH(A386)&lt;=3,1,IF(MONTH(A386)&lt;=5,2,IF(MONTH(A386)&lt;=8,3,4))))</f>
        <v/>
      </c>
      <c r="I386">
        <f>IF(A386="","",MONTH(A386))</f>
        <v/>
      </c>
    </row>
    <row r="387">
      <c r="A387" s="15" t="n"/>
      <c r="B387" s="16" t="n"/>
      <c r="C387" s="16" t="n"/>
      <c r="D387" s="16" t="n"/>
      <c r="E387" s="18" t="n"/>
      <c r="F387" s="16" t="n"/>
      <c r="G387">
        <f>IF(A387="","",YEAR(A387))</f>
        <v/>
      </c>
      <c r="H387">
        <f>IF(A387="","",IF(MONTH(A387)&lt;=3,1,IF(MONTH(A387)&lt;=5,2,IF(MONTH(A387)&lt;=8,3,4))))</f>
        <v/>
      </c>
      <c r="I387">
        <f>IF(A387="","",MONTH(A387))</f>
        <v/>
      </c>
    </row>
    <row r="388">
      <c r="A388" s="15" t="n"/>
      <c r="B388" s="16" t="n"/>
      <c r="C388" s="16" t="n"/>
      <c r="D388" s="16" t="n"/>
      <c r="E388" s="18" t="n"/>
      <c r="F388" s="16" t="n"/>
      <c r="G388">
        <f>IF(A388="","",YEAR(A388))</f>
        <v/>
      </c>
      <c r="H388">
        <f>IF(A388="","",IF(MONTH(A388)&lt;=3,1,IF(MONTH(A388)&lt;=5,2,IF(MONTH(A388)&lt;=8,3,4))))</f>
        <v/>
      </c>
      <c r="I388">
        <f>IF(A388="","",MONTH(A388))</f>
        <v/>
      </c>
    </row>
    <row r="389">
      <c r="A389" s="15" t="n"/>
      <c r="B389" s="16" t="n"/>
      <c r="C389" s="16" t="n"/>
      <c r="D389" s="16" t="n"/>
      <c r="E389" s="18" t="n"/>
      <c r="F389" s="16" t="n"/>
      <c r="G389">
        <f>IF(A389="","",YEAR(A389))</f>
        <v/>
      </c>
      <c r="H389">
        <f>IF(A389="","",IF(MONTH(A389)&lt;=3,1,IF(MONTH(A389)&lt;=5,2,IF(MONTH(A389)&lt;=8,3,4))))</f>
        <v/>
      </c>
      <c r="I389">
        <f>IF(A389="","",MONTH(A389))</f>
        <v/>
      </c>
    </row>
    <row r="390">
      <c r="A390" s="15" t="n"/>
      <c r="B390" s="16" t="n"/>
      <c r="C390" s="16" t="n"/>
      <c r="D390" s="16" t="n"/>
      <c r="E390" s="18" t="n"/>
      <c r="F390" s="16" t="n"/>
      <c r="G390">
        <f>IF(A390="","",YEAR(A390))</f>
        <v/>
      </c>
      <c r="H390">
        <f>IF(A390="","",IF(MONTH(A390)&lt;=3,1,IF(MONTH(A390)&lt;=5,2,IF(MONTH(A390)&lt;=8,3,4))))</f>
        <v/>
      </c>
      <c r="I390">
        <f>IF(A390="","",MONTH(A390))</f>
        <v/>
      </c>
    </row>
    <row r="391">
      <c r="A391" s="15" t="n"/>
      <c r="B391" s="16" t="n"/>
      <c r="C391" s="16" t="n"/>
      <c r="D391" s="16" t="n"/>
      <c r="E391" s="18" t="n"/>
      <c r="F391" s="16" t="n"/>
      <c r="G391">
        <f>IF(A391="","",YEAR(A391))</f>
        <v/>
      </c>
      <c r="H391">
        <f>IF(A391="","",IF(MONTH(A391)&lt;=3,1,IF(MONTH(A391)&lt;=5,2,IF(MONTH(A391)&lt;=8,3,4))))</f>
        <v/>
      </c>
      <c r="I391">
        <f>IF(A391="","",MONTH(A391))</f>
        <v/>
      </c>
    </row>
    <row r="392">
      <c r="A392" s="15" t="n"/>
      <c r="B392" s="16" t="n"/>
      <c r="C392" s="16" t="n"/>
      <c r="D392" s="16" t="n"/>
      <c r="E392" s="18" t="n"/>
      <c r="F392" s="16" t="n"/>
      <c r="G392">
        <f>IF(A392="","",YEAR(A392))</f>
        <v/>
      </c>
      <c r="H392">
        <f>IF(A392="","",IF(MONTH(A392)&lt;=3,1,IF(MONTH(A392)&lt;=5,2,IF(MONTH(A392)&lt;=8,3,4))))</f>
        <v/>
      </c>
      <c r="I392">
        <f>IF(A392="","",MONTH(A392))</f>
        <v/>
      </c>
    </row>
    <row r="393">
      <c r="A393" s="15" t="n"/>
      <c r="B393" s="16" t="n"/>
      <c r="C393" s="16" t="n"/>
      <c r="D393" s="16" t="n"/>
      <c r="E393" s="18" t="n"/>
      <c r="F393" s="16" t="n"/>
      <c r="G393">
        <f>IF(A393="","",YEAR(A393))</f>
        <v/>
      </c>
      <c r="H393">
        <f>IF(A393="","",IF(MONTH(A393)&lt;=3,1,IF(MONTH(A393)&lt;=5,2,IF(MONTH(A393)&lt;=8,3,4))))</f>
        <v/>
      </c>
      <c r="I393">
        <f>IF(A393="","",MONTH(A393))</f>
        <v/>
      </c>
    </row>
    <row r="394">
      <c r="A394" s="15" t="n"/>
      <c r="B394" s="16" t="n"/>
      <c r="C394" s="16" t="n"/>
      <c r="D394" s="16" t="n"/>
      <c r="E394" s="18" t="n"/>
      <c r="F394" s="16" t="n"/>
      <c r="G394">
        <f>IF(A394="","",YEAR(A394))</f>
        <v/>
      </c>
      <c r="H394">
        <f>IF(A394="","",IF(MONTH(A394)&lt;=3,1,IF(MONTH(A394)&lt;=5,2,IF(MONTH(A394)&lt;=8,3,4))))</f>
        <v/>
      </c>
      <c r="I394">
        <f>IF(A394="","",MONTH(A394))</f>
        <v/>
      </c>
    </row>
    <row r="395">
      <c r="A395" s="15" t="n"/>
      <c r="B395" s="16" t="n"/>
      <c r="C395" s="16" t="n"/>
      <c r="D395" s="16" t="n"/>
      <c r="E395" s="18" t="n"/>
      <c r="F395" s="16" t="n"/>
      <c r="G395">
        <f>IF(A395="","",YEAR(A395))</f>
        <v/>
      </c>
      <c r="H395">
        <f>IF(A395="","",IF(MONTH(A395)&lt;=3,1,IF(MONTH(A395)&lt;=5,2,IF(MONTH(A395)&lt;=8,3,4))))</f>
        <v/>
      </c>
      <c r="I395">
        <f>IF(A395="","",MONTH(A395))</f>
        <v/>
      </c>
    </row>
    <row r="396">
      <c r="A396" s="15" t="n"/>
      <c r="B396" s="16" t="n"/>
      <c r="C396" s="16" t="n"/>
      <c r="D396" s="16" t="n"/>
      <c r="E396" s="18" t="n"/>
      <c r="F396" s="16" t="n"/>
      <c r="G396">
        <f>IF(A396="","",YEAR(A396))</f>
        <v/>
      </c>
      <c r="H396">
        <f>IF(A396="","",IF(MONTH(A396)&lt;=3,1,IF(MONTH(A396)&lt;=5,2,IF(MONTH(A396)&lt;=8,3,4))))</f>
        <v/>
      </c>
      <c r="I396">
        <f>IF(A396="","",MONTH(A396))</f>
        <v/>
      </c>
    </row>
    <row r="397">
      <c r="A397" s="15" t="n"/>
      <c r="B397" s="16" t="n"/>
      <c r="C397" s="16" t="n"/>
      <c r="D397" s="16" t="n"/>
      <c r="E397" s="18" t="n"/>
      <c r="F397" s="16" t="n"/>
      <c r="G397">
        <f>IF(A397="","",YEAR(A397))</f>
        <v/>
      </c>
      <c r="H397">
        <f>IF(A397="","",IF(MONTH(A397)&lt;=3,1,IF(MONTH(A397)&lt;=5,2,IF(MONTH(A397)&lt;=8,3,4))))</f>
        <v/>
      </c>
      <c r="I397">
        <f>IF(A397="","",MONTH(A397))</f>
        <v/>
      </c>
    </row>
    <row r="398">
      <c r="A398" s="15" t="n"/>
      <c r="B398" s="16" t="n"/>
      <c r="C398" s="16" t="n"/>
      <c r="D398" s="16" t="n"/>
      <c r="E398" s="18" t="n"/>
      <c r="F398" s="16" t="n"/>
      <c r="G398">
        <f>IF(A398="","",YEAR(A398))</f>
        <v/>
      </c>
      <c r="H398">
        <f>IF(A398="","",IF(MONTH(A398)&lt;=3,1,IF(MONTH(A398)&lt;=5,2,IF(MONTH(A398)&lt;=8,3,4))))</f>
        <v/>
      </c>
      <c r="I398">
        <f>IF(A398="","",MONTH(A398))</f>
        <v/>
      </c>
    </row>
    <row r="399">
      <c r="A399" s="15" t="n"/>
      <c r="B399" s="16" t="n"/>
      <c r="C399" s="16" t="n"/>
      <c r="D399" s="16" t="n"/>
      <c r="E399" s="18" t="n"/>
      <c r="F399" s="16" t="n"/>
      <c r="G399">
        <f>IF(A399="","",YEAR(A399))</f>
        <v/>
      </c>
      <c r="H399">
        <f>IF(A399="","",IF(MONTH(A399)&lt;=3,1,IF(MONTH(A399)&lt;=5,2,IF(MONTH(A399)&lt;=8,3,4))))</f>
        <v/>
      </c>
      <c r="I399">
        <f>IF(A399="","",MONTH(A399))</f>
        <v/>
      </c>
    </row>
    <row r="400">
      <c r="A400" s="15" t="n"/>
      <c r="B400" s="16" t="n"/>
      <c r="C400" s="16" t="n"/>
      <c r="D400" s="16" t="n"/>
      <c r="E400" s="18" t="n"/>
      <c r="F400" s="16" t="n"/>
      <c r="G400">
        <f>IF(A400="","",YEAR(A400))</f>
        <v/>
      </c>
      <c r="H400">
        <f>IF(A400="","",IF(MONTH(A400)&lt;=3,1,IF(MONTH(A400)&lt;=5,2,IF(MONTH(A400)&lt;=8,3,4))))</f>
        <v/>
      </c>
      <c r="I400">
        <f>IF(A400="","",MONTH(A400))</f>
        <v/>
      </c>
    </row>
    <row r="401">
      <c r="A401" s="15" t="n"/>
      <c r="B401" s="16" t="n"/>
      <c r="C401" s="16" t="n"/>
      <c r="D401" s="16" t="n"/>
      <c r="E401" s="18" t="n"/>
      <c r="F401" s="16" t="n"/>
      <c r="G401">
        <f>IF(A401="","",YEAR(A401))</f>
        <v/>
      </c>
      <c r="H401">
        <f>IF(A401="","",IF(MONTH(A401)&lt;=3,1,IF(MONTH(A401)&lt;=5,2,IF(MONTH(A401)&lt;=8,3,4))))</f>
        <v/>
      </c>
      <c r="I401">
        <f>IF(A401="","",MONTH(A401))</f>
        <v/>
      </c>
    </row>
    <row r="402">
      <c r="A402" s="15" t="n"/>
      <c r="B402" s="16" t="n"/>
      <c r="C402" s="16" t="n"/>
      <c r="D402" s="16" t="n"/>
      <c r="E402" s="18" t="n"/>
      <c r="F402" s="16" t="n"/>
      <c r="G402">
        <f>IF(A402="","",YEAR(A402))</f>
        <v/>
      </c>
      <c r="H402">
        <f>IF(A402="","",IF(MONTH(A402)&lt;=3,1,IF(MONTH(A402)&lt;=5,2,IF(MONTH(A402)&lt;=8,3,4))))</f>
        <v/>
      </c>
      <c r="I402">
        <f>IF(A402="","",MONTH(A402))</f>
        <v/>
      </c>
    </row>
    <row r="403">
      <c r="A403" s="15" t="n"/>
      <c r="B403" s="16" t="n"/>
      <c r="C403" s="16" t="n"/>
      <c r="D403" s="16" t="n"/>
      <c r="E403" s="18" t="n"/>
      <c r="F403" s="16" t="n"/>
      <c r="G403">
        <f>IF(A403="","",YEAR(A403))</f>
        <v/>
      </c>
      <c r="H403">
        <f>IF(A403="","",IF(MONTH(A403)&lt;=3,1,IF(MONTH(A403)&lt;=5,2,IF(MONTH(A403)&lt;=8,3,4))))</f>
        <v/>
      </c>
      <c r="I403">
        <f>IF(A403="","",MONTH(A403))</f>
        <v/>
      </c>
    </row>
    <row r="404">
      <c r="A404" s="15" t="n"/>
      <c r="B404" s="16" t="n"/>
      <c r="C404" s="16" t="n"/>
      <c r="D404" s="16" t="n"/>
      <c r="E404" s="18" t="n"/>
      <c r="F404" s="16" t="n"/>
      <c r="G404">
        <f>IF(A404="","",YEAR(A404))</f>
        <v/>
      </c>
      <c r="H404">
        <f>IF(A404="","",IF(MONTH(A404)&lt;=3,1,IF(MONTH(A404)&lt;=5,2,IF(MONTH(A404)&lt;=8,3,4))))</f>
        <v/>
      </c>
      <c r="I404">
        <f>IF(A404="","",MONTH(A404))</f>
        <v/>
      </c>
    </row>
    <row r="405">
      <c r="A405" s="15" t="n"/>
      <c r="B405" s="16" t="n"/>
      <c r="C405" s="16" t="n"/>
      <c r="D405" s="16" t="n"/>
      <c r="E405" s="18" t="n"/>
      <c r="F405" s="16" t="n"/>
      <c r="G405">
        <f>IF(A405="","",YEAR(A405))</f>
        <v/>
      </c>
      <c r="H405">
        <f>IF(A405="","",IF(MONTH(A405)&lt;=3,1,IF(MONTH(A405)&lt;=5,2,IF(MONTH(A405)&lt;=8,3,4))))</f>
        <v/>
      </c>
      <c r="I405">
        <f>IF(A405="","",MONTH(A405))</f>
        <v/>
      </c>
    </row>
    <row r="406">
      <c r="A406" s="15" t="n"/>
      <c r="B406" s="16" t="n"/>
      <c r="C406" s="16" t="n"/>
      <c r="D406" s="16" t="n"/>
      <c r="E406" s="18" t="n"/>
      <c r="F406" s="16" t="n"/>
      <c r="G406">
        <f>IF(A406="","",YEAR(A406))</f>
        <v/>
      </c>
      <c r="H406">
        <f>IF(A406="","",IF(MONTH(A406)&lt;=3,1,IF(MONTH(A406)&lt;=5,2,IF(MONTH(A406)&lt;=8,3,4))))</f>
        <v/>
      </c>
      <c r="I406">
        <f>IF(A406="","",MONTH(A406))</f>
        <v/>
      </c>
    </row>
    <row r="407">
      <c r="A407" s="15" t="n"/>
      <c r="B407" s="16" t="n"/>
      <c r="C407" s="16" t="n"/>
      <c r="D407" s="16" t="n"/>
      <c r="E407" s="18" t="n"/>
      <c r="F407" s="16" t="n"/>
      <c r="G407">
        <f>IF(A407="","",YEAR(A407))</f>
        <v/>
      </c>
      <c r="H407">
        <f>IF(A407="","",IF(MONTH(A407)&lt;=3,1,IF(MONTH(A407)&lt;=5,2,IF(MONTH(A407)&lt;=8,3,4))))</f>
        <v/>
      </c>
      <c r="I407">
        <f>IF(A407="","",MONTH(A407))</f>
        <v/>
      </c>
    </row>
    <row r="408">
      <c r="A408" s="15" t="n"/>
      <c r="B408" s="16" t="n"/>
      <c r="C408" s="16" t="n"/>
      <c r="D408" s="16" t="n"/>
      <c r="E408" s="18" t="n"/>
      <c r="F408" s="16" t="n"/>
      <c r="G408">
        <f>IF(A408="","",YEAR(A408))</f>
        <v/>
      </c>
      <c r="H408">
        <f>IF(A408="","",IF(MONTH(A408)&lt;=3,1,IF(MONTH(A408)&lt;=5,2,IF(MONTH(A408)&lt;=8,3,4))))</f>
        <v/>
      </c>
      <c r="I408">
        <f>IF(A408="","",MONTH(A408))</f>
        <v/>
      </c>
    </row>
    <row r="409">
      <c r="A409" s="15" t="n"/>
      <c r="B409" s="16" t="n"/>
      <c r="C409" s="16" t="n"/>
      <c r="D409" s="16" t="n"/>
      <c r="E409" s="18" t="n"/>
      <c r="F409" s="16" t="n"/>
      <c r="G409">
        <f>IF(A409="","",YEAR(A409))</f>
        <v/>
      </c>
      <c r="H409">
        <f>IF(A409="","",IF(MONTH(A409)&lt;=3,1,IF(MONTH(A409)&lt;=5,2,IF(MONTH(A409)&lt;=8,3,4))))</f>
        <v/>
      </c>
      <c r="I409">
        <f>IF(A409="","",MONTH(A409))</f>
        <v/>
      </c>
    </row>
    <row r="410">
      <c r="A410" s="15" t="n"/>
      <c r="B410" s="16" t="n"/>
      <c r="C410" s="16" t="n"/>
      <c r="D410" s="16" t="n"/>
      <c r="E410" s="18" t="n"/>
      <c r="F410" s="16" t="n"/>
      <c r="G410">
        <f>IF(A410="","",YEAR(A410))</f>
        <v/>
      </c>
      <c r="H410">
        <f>IF(A410="","",IF(MONTH(A410)&lt;=3,1,IF(MONTH(A410)&lt;=5,2,IF(MONTH(A410)&lt;=8,3,4))))</f>
        <v/>
      </c>
      <c r="I410">
        <f>IF(A410="","",MONTH(A410))</f>
        <v/>
      </c>
    </row>
    <row r="411">
      <c r="A411" s="15" t="n"/>
      <c r="B411" s="16" t="n"/>
      <c r="C411" s="16" t="n"/>
      <c r="D411" s="16" t="n"/>
      <c r="E411" s="18" t="n"/>
      <c r="F411" s="16" t="n"/>
      <c r="G411">
        <f>IF(A411="","",YEAR(A411))</f>
        <v/>
      </c>
      <c r="H411">
        <f>IF(A411="","",IF(MONTH(A411)&lt;=3,1,IF(MONTH(A411)&lt;=5,2,IF(MONTH(A411)&lt;=8,3,4))))</f>
        <v/>
      </c>
      <c r="I411">
        <f>IF(A411="","",MONTH(A411))</f>
        <v/>
      </c>
    </row>
    <row r="412">
      <c r="A412" s="15" t="n"/>
      <c r="B412" s="16" t="n"/>
      <c r="C412" s="16" t="n"/>
      <c r="D412" s="16" t="n"/>
      <c r="E412" s="18" t="n"/>
      <c r="F412" s="16" t="n"/>
      <c r="G412">
        <f>IF(A412="","",YEAR(A412))</f>
        <v/>
      </c>
      <c r="H412">
        <f>IF(A412="","",IF(MONTH(A412)&lt;=3,1,IF(MONTH(A412)&lt;=5,2,IF(MONTH(A412)&lt;=8,3,4))))</f>
        <v/>
      </c>
      <c r="I412">
        <f>IF(A412="","",MONTH(A412))</f>
        <v/>
      </c>
    </row>
    <row r="413">
      <c r="A413" s="15" t="n"/>
      <c r="B413" s="16" t="n"/>
      <c r="C413" s="16" t="n"/>
      <c r="D413" s="16" t="n"/>
      <c r="E413" s="18" t="n"/>
      <c r="F413" s="16" t="n"/>
      <c r="G413">
        <f>IF(A413="","",YEAR(A413))</f>
        <v/>
      </c>
      <c r="H413">
        <f>IF(A413="","",IF(MONTH(A413)&lt;=3,1,IF(MONTH(A413)&lt;=5,2,IF(MONTH(A413)&lt;=8,3,4))))</f>
        <v/>
      </c>
      <c r="I413">
        <f>IF(A413="","",MONTH(A413))</f>
        <v/>
      </c>
    </row>
    <row r="414">
      <c r="A414" s="15" t="n"/>
      <c r="B414" s="16" t="n"/>
      <c r="C414" s="16" t="n"/>
      <c r="D414" s="16" t="n"/>
      <c r="E414" s="18" t="n"/>
      <c r="F414" s="16" t="n"/>
      <c r="G414">
        <f>IF(A414="","",YEAR(A414))</f>
        <v/>
      </c>
      <c r="H414">
        <f>IF(A414="","",IF(MONTH(A414)&lt;=3,1,IF(MONTH(A414)&lt;=5,2,IF(MONTH(A414)&lt;=8,3,4))))</f>
        <v/>
      </c>
      <c r="I414">
        <f>IF(A414="","",MONTH(A414))</f>
        <v/>
      </c>
    </row>
    <row r="415">
      <c r="A415" s="15" t="n"/>
      <c r="B415" s="16" t="n"/>
      <c r="C415" s="16" t="n"/>
      <c r="D415" s="16" t="n"/>
      <c r="E415" s="18" t="n"/>
      <c r="F415" s="16" t="n"/>
      <c r="G415">
        <f>IF(A415="","",YEAR(A415))</f>
        <v/>
      </c>
      <c r="H415">
        <f>IF(A415="","",IF(MONTH(A415)&lt;=3,1,IF(MONTH(A415)&lt;=5,2,IF(MONTH(A415)&lt;=8,3,4))))</f>
        <v/>
      </c>
      <c r="I415">
        <f>IF(A415="","",MONTH(A415))</f>
        <v/>
      </c>
    </row>
    <row r="416">
      <c r="A416" s="15" t="n"/>
      <c r="B416" s="16" t="n"/>
      <c r="C416" s="16" t="n"/>
      <c r="D416" s="16" t="n"/>
      <c r="E416" s="18" t="n"/>
      <c r="F416" s="16" t="n"/>
      <c r="G416">
        <f>IF(A416="","",YEAR(A416))</f>
        <v/>
      </c>
      <c r="H416">
        <f>IF(A416="","",IF(MONTH(A416)&lt;=3,1,IF(MONTH(A416)&lt;=5,2,IF(MONTH(A416)&lt;=8,3,4))))</f>
        <v/>
      </c>
      <c r="I416">
        <f>IF(A416="","",MONTH(A416))</f>
        <v/>
      </c>
    </row>
    <row r="417">
      <c r="A417" s="15" t="n"/>
      <c r="B417" s="16" t="n"/>
      <c r="C417" s="16" t="n"/>
      <c r="D417" s="16" t="n"/>
      <c r="E417" s="18" t="n"/>
      <c r="F417" s="16" t="n"/>
      <c r="G417">
        <f>IF(A417="","",YEAR(A417))</f>
        <v/>
      </c>
      <c r="H417">
        <f>IF(A417="","",IF(MONTH(A417)&lt;=3,1,IF(MONTH(A417)&lt;=5,2,IF(MONTH(A417)&lt;=8,3,4))))</f>
        <v/>
      </c>
      <c r="I417">
        <f>IF(A417="","",MONTH(A417))</f>
        <v/>
      </c>
    </row>
    <row r="418">
      <c r="A418" s="15" t="n"/>
      <c r="B418" s="16" t="n"/>
      <c r="C418" s="16" t="n"/>
      <c r="D418" s="16" t="n"/>
      <c r="E418" s="18" t="n"/>
      <c r="F418" s="16" t="n"/>
      <c r="G418">
        <f>IF(A418="","",YEAR(A418))</f>
        <v/>
      </c>
      <c r="H418">
        <f>IF(A418="","",IF(MONTH(A418)&lt;=3,1,IF(MONTH(A418)&lt;=5,2,IF(MONTH(A418)&lt;=8,3,4))))</f>
        <v/>
      </c>
      <c r="I418">
        <f>IF(A418="","",MONTH(A418))</f>
        <v/>
      </c>
    </row>
    <row r="419">
      <c r="A419" s="15" t="n"/>
      <c r="B419" s="16" t="n"/>
      <c r="C419" s="16" t="n"/>
      <c r="D419" s="16" t="n"/>
      <c r="E419" s="18" t="n"/>
      <c r="F419" s="16" t="n"/>
      <c r="G419">
        <f>IF(A419="","",YEAR(A419))</f>
        <v/>
      </c>
      <c r="H419">
        <f>IF(A419="","",IF(MONTH(A419)&lt;=3,1,IF(MONTH(A419)&lt;=5,2,IF(MONTH(A419)&lt;=8,3,4))))</f>
        <v/>
      </c>
      <c r="I419">
        <f>IF(A419="","",MONTH(A419))</f>
        <v/>
      </c>
    </row>
    <row r="420">
      <c r="A420" s="15" t="n"/>
      <c r="B420" s="16" t="n"/>
      <c r="C420" s="16" t="n"/>
      <c r="D420" s="16" t="n"/>
      <c r="E420" s="18" t="n"/>
      <c r="F420" s="16" t="n"/>
      <c r="G420">
        <f>IF(A420="","",YEAR(A420))</f>
        <v/>
      </c>
      <c r="H420">
        <f>IF(A420="","",IF(MONTH(A420)&lt;=3,1,IF(MONTH(A420)&lt;=5,2,IF(MONTH(A420)&lt;=8,3,4))))</f>
        <v/>
      </c>
      <c r="I420">
        <f>IF(A420="","",MONTH(A420))</f>
        <v/>
      </c>
    </row>
    <row r="421">
      <c r="A421" s="15" t="n"/>
      <c r="B421" s="16" t="n"/>
      <c r="C421" s="16" t="n"/>
      <c r="D421" s="16" t="n"/>
      <c r="E421" s="18" t="n"/>
      <c r="F421" s="16" t="n"/>
      <c r="G421">
        <f>IF(A421="","",YEAR(A421))</f>
        <v/>
      </c>
      <c r="H421">
        <f>IF(A421="","",IF(MONTH(A421)&lt;=3,1,IF(MONTH(A421)&lt;=5,2,IF(MONTH(A421)&lt;=8,3,4))))</f>
        <v/>
      </c>
      <c r="I421">
        <f>IF(A421="","",MONTH(A421))</f>
        <v/>
      </c>
    </row>
    <row r="422">
      <c r="A422" s="15" t="n"/>
      <c r="B422" s="16" t="n"/>
      <c r="C422" s="16" t="n"/>
      <c r="D422" s="16" t="n"/>
      <c r="E422" s="18" t="n"/>
      <c r="F422" s="16" t="n"/>
      <c r="G422">
        <f>IF(A422="","",YEAR(A422))</f>
        <v/>
      </c>
      <c r="H422">
        <f>IF(A422="","",IF(MONTH(A422)&lt;=3,1,IF(MONTH(A422)&lt;=5,2,IF(MONTH(A422)&lt;=8,3,4))))</f>
        <v/>
      </c>
      <c r="I422">
        <f>IF(A422="","",MONTH(A422))</f>
        <v/>
      </c>
    </row>
    <row r="423">
      <c r="A423" s="15" t="n"/>
      <c r="B423" s="16" t="n"/>
      <c r="C423" s="16" t="n"/>
      <c r="D423" s="16" t="n"/>
      <c r="E423" s="18" t="n"/>
      <c r="F423" s="16" t="n"/>
      <c r="G423">
        <f>IF(A423="","",YEAR(A423))</f>
        <v/>
      </c>
      <c r="H423">
        <f>IF(A423="","",IF(MONTH(A423)&lt;=3,1,IF(MONTH(A423)&lt;=5,2,IF(MONTH(A423)&lt;=8,3,4))))</f>
        <v/>
      </c>
      <c r="I423">
        <f>IF(A423="","",MONTH(A423))</f>
        <v/>
      </c>
    </row>
    <row r="424">
      <c r="A424" s="15" t="n"/>
      <c r="B424" s="16" t="n"/>
      <c r="C424" s="16" t="n"/>
      <c r="D424" s="16" t="n"/>
      <c r="E424" s="18" t="n"/>
      <c r="F424" s="16" t="n"/>
      <c r="G424">
        <f>IF(A424="","",YEAR(A424))</f>
        <v/>
      </c>
      <c r="H424">
        <f>IF(A424="","",IF(MONTH(A424)&lt;=3,1,IF(MONTH(A424)&lt;=5,2,IF(MONTH(A424)&lt;=8,3,4))))</f>
        <v/>
      </c>
      <c r="I424">
        <f>IF(A424="","",MONTH(A424))</f>
        <v/>
      </c>
    </row>
    <row r="425">
      <c r="A425" s="15" t="n"/>
      <c r="B425" s="16" t="n"/>
      <c r="C425" s="16" t="n"/>
      <c r="D425" s="16" t="n"/>
      <c r="E425" s="18" t="n"/>
      <c r="F425" s="16" t="n"/>
      <c r="G425">
        <f>IF(A425="","",YEAR(A425))</f>
        <v/>
      </c>
      <c r="H425">
        <f>IF(A425="","",IF(MONTH(A425)&lt;=3,1,IF(MONTH(A425)&lt;=5,2,IF(MONTH(A425)&lt;=8,3,4))))</f>
        <v/>
      </c>
      <c r="I425">
        <f>IF(A425="","",MONTH(A425))</f>
        <v/>
      </c>
    </row>
    <row r="426">
      <c r="A426" s="15" t="n"/>
      <c r="B426" s="16" t="n"/>
      <c r="C426" s="16" t="n"/>
      <c r="D426" s="16" t="n"/>
      <c r="E426" s="18" t="n"/>
      <c r="F426" s="16" t="n"/>
      <c r="G426">
        <f>IF(A426="","",YEAR(A426))</f>
        <v/>
      </c>
      <c r="H426">
        <f>IF(A426="","",IF(MONTH(A426)&lt;=3,1,IF(MONTH(A426)&lt;=5,2,IF(MONTH(A426)&lt;=8,3,4))))</f>
        <v/>
      </c>
      <c r="I426">
        <f>IF(A426="","",MONTH(A426))</f>
        <v/>
      </c>
    </row>
    <row r="427">
      <c r="A427" s="15" t="n"/>
      <c r="B427" s="16" t="n"/>
      <c r="C427" s="16" t="n"/>
      <c r="D427" s="16" t="n"/>
      <c r="E427" s="18" t="n"/>
      <c r="F427" s="16" t="n"/>
      <c r="G427">
        <f>IF(A427="","",YEAR(A427))</f>
        <v/>
      </c>
      <c r="H427">
        <f>IF(A427="","",IF(MONTH(A427)&lt;=3,1,IF(MONTH(A427)&lt;=5,2,IF(MONTH(A427)&lt;=8,3,4))))</f>
        <v/>
      </c>
      <c r="I427">
        <f>IF(A427="","",MONTH(A427))</f>
        <v/>
      </c>
    </row>
    <row r="428">
      <c r="A428" s="15" t="n"/>
      <c r="B428" s="16" t="n"/>
      <c r="C428" s="16" t="n"/>
      <c r="D428" s="16" t="n"/>
      <c r="E428" s="18" t="n"/>
      <c r="F428" s="16" t="n"/>
      <c r="G428">
        <f>IF(A428="","",YEAR(A428))</f>
        <v/>
      </c>
      <c r="H428">
        <f>IF(A428="","",IF(MONTH(A428)&lt;=3,1,IF(MONTH(A428)&lt;=5,2,IF(MONTH(A428)&lt;=8,3,4))))</f>
        <v/>
      </c>
      <c r="I428">
        <f>IF(A428="","",MONTH(A428))</f>
        <v/>
      </c>
    </row>
    <row r="429">
      <c r="A429" s="15" t="n"/>
      <c r="B429" s="16" t="n"/>
      <c r="C429" s="16" t="n"/>
      <c r="D429" s="16" t="n"/>
      <c r="E429" s="18" t="n"/>
      <c r="F429" s="16" t="n"/>
      <c r="G429">
        <f>IF(A429="","",YEAR(A429))</f>
        <v/>
      </c>
      <c r="H429">
        <f>IF(A429="","",IF(MONTH(A429)&lt;=3,1,IF(MONTH(A429)&lt;=5,2,IF(MONTH(A429)&lt;=8,3,4))))</f>
        <v/>
      </c>
      <c r="I429">
        <f>IF(A429="","",MONTH(A429))</f>
        <v/>
      </c>
    </row>
    <row r="430">
      <c r="A430" s="15" t="n"/>
      <c r="B430" s="16" t="n"/>
      <c r="C430" s="16" t="n"/>
      <c r="D430" s="16" t="n"/>
      <c r="E430" s="18" t="n"/>
      <c r="F430" s="16" t="n"/>
      <c r="G430">
        <f>IF(A430="","",YEAR(A430))</f>
        <v/>
      </c>
      <c r="H430">
        <f>IF(A430="","",IF(MONTH(A430)&lt;=3,1,IF(MONTH(A430)&lt;=5,2,IF(MONTH(A430)&lt;=8,3,4))))</f>
        <v/>
      </c>
      <c r="I430">
        <f>IF(A430="","",MONTH(A430))</f>
        <v/>
      </c>
    </row>
    <row r="431">
      <c r="A431" s="15" t="n"/>
      <c r="B431" s="16" t="n"/>
      <c r="C431" s="16" t="n"/>
      <c r="D431" s="16" t="n"/>
      <c r="E431" s="18" t="n"/>
      <c r="F431" s="16" t="n"/>
      <c r="G431">
        <f>IF(A431="","",YEAR(A431))</f>
        <v/>
      </c>
      <c r="H431">
        <f>IF(A431="","",IF(MONTH(A431)&lt;=3,1,IF(MONTH(A431)&lt;=5,2,IF(MONTH(A431)&lt;=8,3,4))))</f>
        <v/>
      </c>
      <c r="I431">
        <f>IF(A431="","",MONTH(A431))</f>
        <v/>
      </c>
    </row>
    <row r="432">
      <c r="A432" s="15" t="n"/>
      <c r="B432" s="16" t="n"/>
      <c r="C432" s="16" t="n"/>
      <c r="D432" s="16" t="n"/>
      <c r="E432" s="18" t="n"/>
      <c r="F432" s="16" t="n"/>
      <c r="G432">
        <f>IF(A432="","",YEAR(A432))</f>
        <v/>
      </c>
      <c r="H432">
        <f>IF(A432="","",IF(MONTH(A432)&lt;=3,1,IF(MONTH(A432)&lt;=5,2,IF(MONTH(A432)&lt;=8,3,4))))</f>
        <v/>
      </c>
      <c r="I432">
        <f>IF(A432="","",MONTH(A432))</f>
        <v/>
      </c>
    </row>
    <row r="433">
      <c r="A433" s="15" t="n"/>
      <c r="B433" s="16" t="n"/>
      <c r="C433" s="16" t="n"/>
      <c r="D433" s="16" t="n"/>
      <c r="E433" s="18" t="n"/>
      <c r="F433" s="16" t="n"/>
      <c r="G433">
        <f>IF(A433="","",YEAR(A433))</f>
        <v/>
      </c>
      <c r="H433">
        <f>IF(A433="","",IF(MONTH(A433)&lt;=3,1,IF(MONTH(A433)&lt;=5,2,IF(MONTH(A433)&lt;=8,3,4))))</f>
        <v/>
      </c>
      <c r="I433">
        <f>IF(A433="","",MONTH(A433))</f>
        <v/>
      </c>
    </row>
    <row r="434">
      <c r="A434" s="15" t="n"/>
      <c r="B434" s="16" t="n"/>
      <c r="C434" s="16" t="n"/>
      <c r="D434" s="16" t="n"/>
      <c r="E434" s="18" t="n"/>
      <c r="F434" s="16" t="n"/>
      <c r="G434">
        <f>IF(A434="","",YEAR(A434))</f>
        <v/>
      </c>
      <c r="H434">
        <f>IF(A434="","",IF(MONTH(A434)&lt;=3,1,IF(MONTH(A434)&lt;=5,2,IF(MONTH(A434)&lt;=8,3,4))))</f>
        <v/>
      </c>
      <c r="I434">
        <f>IF(A434="","",MONTH(A434))</f>
        <v/>
      </c>
    </row>
    <row r="435">
      <c r="A435" s="15" t="n"/>
      <c r="B435" s="16" t="n"/>
      <c r="C435" s="16" t="n"/>
      <c r="D435" s="16" t="n"/>
      <c r="E435" s="18" t="n"/>
      <c r="F435" s="16" t="n"/>
      <c r="G435">
        <f>IF(A435="","",YEAR(A435))</f>
        <v/>
      </c>
      <c r="H435">
        <f>IF(A435="","",IF(MONTH(A435)&lt;=3,1,IF(MONTH(A435)&lt;=5,2,IF(MONTH(A435)&lt;=8,3,4))))</f>
        <v/>
      </c>
      <c r="I435">
        <f>IF(A435="","",MONTH(A435))</f>
        <v/>
      </c>
    </row>
    <row r="436">
      <c r="A436" s="15" t="n"/>
      <c r="B436" s="16" t="n"/>
      <c r="C436" s="16" t="n"/>
      <c r="D436" s="16" t="n"/>
      <c r="E436" s="18" t="n"/>
      <c r="F436" s="16" t="n"/>
      <c r="G436">
        <f>IF(A436="","",YEAR(A436))</f>
        <v/>
      </c>
      <c r="H436">
        <f>IF(A436="","",IF(MONTH(A436)&lt;=3,1,IF(MONTH(A436)&lt;=5,2,IF(MONTH(A436)&lt;=8,3,4))))</f>
        <v/>
      </c>
      <c r="I436">
        <f>IF(A436="","",MONTH(A436))</f>
        <v/>
      </c>
    </row>
    <row r="437">
      <c r="A437" s="15" t="n"/>
      <c r="B437" s="16" t="n"/>
      <c r="C437" s="16" t="n"/>
      <c r="D437" s="16" t="n"/>
      <c r="E437" s="18" t="n"/>
      <c r="F437" s="16" t="n"/>
      <c r="G437">
        <f>IF(A437="","",YEAR(A437))</f>
        <v/>
      </c>
      <c r="H437">
        <f>IF(A437="","",IF(MONTH(A437)&lt;=3,1,IF(MONTH(A437)&lt;=5,2,IF(MONTH(A437)&lt;=8,3,4))))</f>
        <v/>
      </c>
      <c r="I437">
        <f>IF(A437="","",MONTH(A437))</f>
        <v/>
      </c>
    </row>
    <row r="438">
      <c r="A438" s="15" t="n"/>
      <c r="B438" s="16" t="n"/>
      <c r="C438" s="16" t="n"/>
      <c r="D438" s="16" t="n"/>
      <c r="E438" s="18" t="n"/>
      <c r="F438" s="16" t="n"/>
      <c r="G438">
        <f>IF(A438="","",YEAR(A438))</f>
        <v/>
      </c>
      <c r="H438">
        <f>IF(A438="","",IF(MONTH(A438)&lt;=3,1,IF(MONTH(A438)&lt;=5,2,IF(MONTH(A438)&lt;=8,3,4))))</f>
        <v/>
      </c>
      <c r="I438">
        <f>IF(A438="","",MONTH(A438))</f>
        <v/>
      </c>
    </row>
    <row r="439">
      <c r="A439" s="15" t="n"/>
      <c r="B439" s="16" t="n"/>
      <c r="C439" s="16" t="n"/>
      <c r="D439" s="16" t="n"/>
      <c r="E439" s="18" t="n"/>
      <c r="F439" s="16" t="n"/>
      <c r="G439">
        <f>IF(A439="","",YEAR(A439))</f>
        <v/>
      </c>
      <c r="H439">
        <f>IF(A439="","",IF(MONTH(A439)&lt;=3,1,IF(MONTH(A439)&lt;=5,2,IF(MONTH(A439)&lt;=8,3,4))))</f>
        <v/>
      </c>
      <c r="I439">
        <f>IF(A439="","",MONTH(A439))</f>
        <v/>
      </c>
    </row>
    <row r="440">
      <c r="A440" s="15" t="n"/>
      <c r="B440" s="16" t="n"/>
      <c r="C440" s="16" t="n"/>
      <c r="D440" s="16" t="n"/>
      <c r="E440" s="18" t="n"/>
      <c r="F440" s="16" t="n"/>
      <c r="G440">
        <f>IF(A440="","",YEAR(A440))</f>
        <v/>
      </c>
      <c r="H440">
        <f>IF(A440="","",IF(MONTH(A440)&lt;=3,1,IF(MONTH(A440)&lt;=5,2,IF(MONTH(A440)&lt;=8,3,4))))</f>
        <v/>
      </c>
      <c r="I440">
        <f>IF(A440="","",MONTH(A440))</f>
        <v/>
      </c>
    </row>
    <row r="441">
      <c r="A441" s="15" t="n"/>
      <c r="B441" s="16" t="n"/>
      <c r="C441" s="16" t="n"/>
      <c r="D441" s="16" t="n"/>
      <c r="E441" s="18" t="n"/>
      <c r="F441" s="16" t="n"/>
      <c r="G441">
        <f>IF(A441="","",YEAR(A441))</f>
        <v/>
      </c>
      <c r="H441">
        <f>IF(A441="","",IF(MONTH(A441)&lt;=3,1,IF(MONTH(A441)&lt;=5,2,IF(MONTH(A441)&lt;=8,3,4))))</f>
        <v/>
      </c>
      <c r="I441">
        <f>IF(A441="","",MONTH(A441))</f>
        <v/>
      </c>
    </row>
    <row r="442">
      <c r="A442" s="15" t="n"/>
      <c r="B442" s="16" t="n"/>
      <c r="C442" s="16" t="n"/>
      <c r="D442" s="16" t="n"/>
      <c r="E442" s="18" t="n"/>
      <c r="F442" s="16" t="n"/>
      <c r="G442">
        <f>IF(A442="","",YEAR(A442))</f>
        <v/>
      </c>
      <c r="H442">
        <f>IF(A442="","",IF(MONTH(A442)&lt;=3,1,IF(MONTH(A442)&lt;=5,2,IF(MONTH(A442)&lt;=8,3,4))))</f>
        <v/>
      </c>
      <c r="I442">
        <f>IF(A442="","",MONTH(A442))</f>
        <v/>
      </c>
    </row>
    <row r="443">
      <c r="A443" s="15" t="n"/>
      <c r="B443" s="16" t="n"/>
      <c r="C443" s="16" t="n"/>
      <c r="D443" s="16" t="n"/>
      <c r="E443" s="18" t="n"/>
      <c r="F443" s="16" t="n"/>
      <c r="G443">
        <f>IF(A443="","",YEAR(A443))</f>
        <v/>
      </c>
      <c r="H443">
        <f>IF(A443="","",IF(MONTH(A443)&lt;=3,1,IF(MONTH(A443)&lt;=5,2,IF(MONTH(A443)&lt;=8,3,4))))</f>
        <v/>
      </c>
      <c r="I443">
        <f>IF(A443="","",MONTH(A443))</f>
        <v/>
      </c>
    </row>
    <row r="444">
      <c r="A444" s="15" t="n"/>
      <c r="B444" s="16" t="n"/>
      <c r="C444" s="16" t="n"/>
      <c r="D444" s="16" t="n"/>
      <c r="E444" s="18" t="n"/>
      <c r="F444" s="16" t="n"/>
      <c r="G444">
        <f>IF(A444="","",YEAR(A444))</f>
        <v/>
      </c>
      <c r="H444">
        <f>IF(A444="","",IF(MONTH(A444)&lt;=3,1,IF(MONTH(A444)&lt;=5,2,IF(MONTH(A444)&lt;=8,3,4))))</f>
        <v/>
      </c>
      <c r="I444">
        <f>IF(A444="","",MONTH(A444))</f>
        <v/>
      </c>
    </row>
    <row r="445">
      <c r="A445" s="15" t="n"/>
      <c r="B445" s="16" t="n"/>
      <c r="C445" s="16" t="n"/>
      <c r="D445" s="16" t="n"/>
      <c r="E445" s="18" t="n"/>
      <c r="F445" s="16" t="n"/>
      <c r="G445">
        <f>IF(A445="","",YEAR(A445))</f>
        <v/>
      </c>
      <c r="H445">
        <f>IF(A445="","",IF(MONTH(A445)&lt;=3,1,IF(MONTH(A445)&lt;=5,2,IF(MONTH(A445)&lt;=8,3,4))))</f>
        <v/>
      </c>
      <c r="I445">
        <f>IF(A445="","",MONTH(A445))</f>
        <v/>
      </c>
    </row>
    <row r="446">
      <c r="A446" s="15" t="n"/>
      <c r="B446" s="16" t="n"/>
      <c r="C446" s="16" t="n"/>
      <c r="D446" s="16" t="n"/>
      <c r="E446" s="18" t="n"/>
      <c r="F446" s="16" t="n"/>
      <c r="G446">
        <f>IF(A446="","",YEAR(A446))</f>
        <v/>
      </c>
      <c r="H446">
        <f>IF(A446="","",IF(MONTH(A446)&lt;=3,1,IF(MONTH(A446)&lt;=5,2,IF(MONTH(A446)&lt;=8,3,4))))</f>
        <v/>
      </c>
      <c r="I446">
        <f>IF(A446="","",MONTH(A446))</f>
        <v/>
      </c>
    </row>
    <row r="447">
      <c r="A447" s="15" t="n"/>
      <c r="B447" s="16" t="n"/>
      <c r="C447" s="16" t="n"/>
      <c r="D447" s="16" t="n"/>
      <c r="E447" s="18" t="n"/>
      <c r="F447" s="16" t="n"/>
      <c r="G447">
        <f>IF(A447="","",YEAR(A447))</f>
        <v/>
      </c>
      <c r="H447">
        <f>IF(A447="","",IF(MONTH(A447)&lt;=3,1,IF(MONTH(A447)&lt;=5,2,IF(MONTH(A447)&lt;=8,3,4))))</f>
        <v/>
      </c>
      <c r="I447">
        <f>IF(A447="","",MONTH(A447))</f>
        <v/>
      </c>
    </row>
    <row r="448">
      <c r="A448" s="15" t="n"/>
      <c r="B448" s="16" t="n"/>
      <c r="C448" s="16" t="n"/>
      <c r="D448" s="16" t="n"/>
      <c r="E448" s="18" t="n"/>
      <c r="F448" s="16" t="n"/>
      <c r="G448">
        <f>IF(A448="","",YEAR(A448))</f>
        <v/>
      </c>
      <c r="H448">
        <f>IF(A448="","",IF(MONTH(A448)&lt;=3,1,IF(MONTH(A448)&lt;=5,2,IF(MONTH(A448)&lt;=8,3,4))))</f>
        <v/>
      </c>
      <c r="I448">
        <f>IF(A448="","",MONTH(A448))</f>
        <v/>
      </c>
    </row>
    <row r="449">
      <c r="A449" s="15" t="n"/>
      <c r="B449" s="16" t="n"/>
      <c r="C449" s="16" t="n"/>
      <c r="D449" s="16" t="n"/>
      <c r="E449" s="18" t="n"/>
      <c r="F449" s="16" t="n"/>
      <c r="G449">
        <f>IF(A449="","",YEAR(A449))</f>
        <v/>
      </c>
      <c r="H449">
        <f>IF(A449="","",IF(MONTH(A449)&lt;=3,1,IF(MONTH(A449)&lt;=5,2,IF(MONTH(A449)&lt;=8,3,4))))</f>
        <v/>
      </c>
      <c r="I449">
        <f>IF(A449="","",MONTH(A449))</f>
        <v/>
      </c>
    </row>
    <row r="450">
      <c r="A450" s="15" t="n"/>
      <c r="B450" s="16" t="n"/>
      <c r="C450" s="16" t="n"/>
      <c r="D450" s="16" t="n"/>
      <c r="E450" s="18" t="n"/>
      <c r="F450" s="16" t="n"/>
      <c r="G450">
        <f>IF(A450="","",YEAR(A450))</f>
        <v/>
      </c>
      <c r="H450">
        <f>IF(A450="","",IF(MONTH(A450)&lt;=3,1,IF(MONTH(A450)&lt;=5,2,IF(MONTH(A450)&lt;=8,3,4))))</f>
        <v/>
      </c>
      <c r="I450">
        <f>IF(A450="","",MONTH(A450))</f>
        <v/>
      </c>
    </row>
    <row r="451">
      <c r="A451" s="15" t="n"/>
      <c r="B451" s="16" t="n"/>
      <c r="C451" s="16" t="n"/>
      <c r="D451" s="16" t="n"/>
      <c r="E451" s="18" t="n"/>
      <c r="F451" s="16" t="n"/>
      <c r="G451">
        <f>IF(A451="","",YEAR(A451))</f>
        <v/>
      </c>
      <c r="H451">
        <f>IF(A451="","",IF(MONTH(A451)&lt;=3,1,IF(MONTH(A451)&lt;=5,2,IF(MONTH(A451)&lt;=8,3,4))))</f>
        <v/>
      </c>
      <c r="I451">
        <f>IF(A451="","",MONTH(A451))</f>
        <v/>
      </c>
    </row>
    <row r="452">
      <c r="A452" s="15" t="n"/>
      <c r="B452" s="16" t="n"/>
      <c r="C452" s="16" t="n"/>
      <c r="D452" s="16" t="n"/>
      <c r="E452" s="18" t="n"/>
      <c r="F452" s="16" t="n"/>
      <c r="G452">
        <f>IF(A452="","",YEAR(A452))</f>
        <v/>
      </c>
      <c r="H452">
        <f>IF(A452="","",IF(MONTH(A452)&lt;=3,1,IF(MONTH(A452)&lt;=5,2,IF(MONTH(A452)&lt;=8,3,4))))</f>
        <v/>
      </c>
      <c r="I452">
        <f>IF(A452="","",MONTH(A452))</f>
        <v/>
      </c>
    </row>
    <row r="453">
      <c r="A453" s="15" t="n"/>
      <c r="B453" s="16" t="n"/>
      <c r="C453" s="16" t="n"/>
      <c r="D453" s="16" t="n"/>
      <c r="E453" s="18" t="n"/>
      <c r="F453" s="16" t="n"/>
      <c r="G453">
        <f>IF(A453="","",YEAR(A453))</f>
        <v/>
      </c>
      <c r="H453">
        <f>IF(A453="","",IF(MONTH(A453)&lt;=3,1,IF(MONTH(A453)&lt;=5,2,IF(MONTH(A453)&lt;=8,3,4))))</f>
        <v/>
      </c>
      <c r="I453">
        <f>IF(A453="","",MONTH(A453))</f>
        <v/>
      </c>
    </row>
    <row r="454">
      <c r="A454" s="15" t="n"/>
      <c r="B454" s="16" t="n"/>
      <c r="C454" s="16" t="n"/>
      <c r="D454" s="16" t="n"/>
      <c r="E454" s="18" t="n"/>
      <c r="F454" s="16" t="n"/>
      <c r="G454">
        <f>IF(A454="","",YEAR(A454))</f>
        <v/>
      </c>
      <c r="H454">
        <f>IF(A454="","",IF(MONTH(A454)&lt;=3,1,IF(MONTH(A454)&lt;=5,2,IF(MONTH(A454)&lt;=8,3,4))))</f>
        <v/>
      </c>
      <c r="I454">
        <f>IF(A454="","",MONTH(A454))</f>
        <v/>
      </c>
    </row>
    <row r="455">
      <c r="A455" s="15" t="n"/>
      <c r="B455" s="16" t="n"/>
      <c r="C455" s="16" t="n"/>
      <c r="D455" s="16" t="n"/>
      <c r="E455" s="18" t="n"/>
      <c r="F455" s="16" t="n"/>
      <c r="G455">
        <f>IF(A455="","",YEAR(A455))</f>
        <v/>
      </c>
      <c r="H455">
        <f>IF(A455="","",IF(MONTH(A455)&lt;=3,1,IF(MONTH(A455)&lt;=5,2,IF(MONTH(A455)&lt;=8,3,4))))</f>
        <v/>
      </c>
      <c r="I455">
        <f>IF(A455="","",MONTH(A455))</f>
        <v/>
      </c>
    </row>
    <row r="456">
      <c r="A456" s="15" t="n"/>
      <c r="B456" s="16" t="n"/>
      <c r="C456" s="16" t="n"/>
      <c r="D456" s="16" t="n"/>
      <c r="E456" s="18" t="n"/>
      <c r="F456" s="16" t="n"/>
      <c r="G456">
        <f>IF(A456="","",YEAR(A456))</f>
        <v/>
      </c>
      <c r="H456">
        <f>IF(A456="","",IF(MONTH(A456)&lt;=3,1,IF(MONTH(A456)&lt;=5,2,IF(MONTH(A456)&lt;=8,3,4))))</f>
        <v/>
      </c>
      <c r="I456">
        <f>IF(A456="","",MONTH(A456))</f>
        <v/>
      </c>
    </row>
    <row r="457">
      <c r="A457" s="15" t="n"/>
      <c r="B457" s="16" t="n"/>
      <c r="C457" s="16" t="n"/>
      <c r="D457" s="16" t="n"/>
      <c r="E457" s="18" t="n"/>
      <c r="F457" s="16" t="n"/>
      <c r="G457">
        <f>IF(A457="","",YEAR(A457))</f>
        <v/>
      </c>
      <c r="H457">
        <f>IF(A457="","",IF(MONTH(A457)&lt;=3,1,IF(MONTH(A457)&lt;=5,2,IF(MONTH(A457)&lt;=8,3,4))))</f>
        <v/>
      </c>
      <c r="I457">
        <f>IF(A457="","",MONTH(A457))</f>
        <v/>
      </c>
    </row>
    <row r="458">
      <c r="A458" s="15" t="n"/>
      <c r="B458" s="16" t="n"/>
      <c r="C458" s="16" t="n"/>
      <c r="D458" s="16" t="n"/>
      <c r="E458" s="18" t="n"/>
      <c r="F458" s="16" t="n"/>
      <c r="G458">
        <f>IF(A458="","",YEAR(A458))</f>
        <v/>
      </c>
      <c r="H458">
        <f>IF(A458="","",IF(MONTH(A458)&lt;=3,1,IF(MONTH(A458)&lt;=5,2,IF(MONTH(A458)&lt;=8,3,4))))</f>
        <v/>
      </c>
      <c r="I458">
        <f>IF(A458="","",MONTH(A458))</f>
        <v/>
      </c>
    </row>
    <row r="459">
      <c r="A459" s="15" t="n"/>
      <c r="B459" s="16" t="n"/>
      <c r="C459" s="16" t="n"/>
      <c r="D459" s="16" t="n"/>
      <c r="E459" s="18" t="n"/>
      <c r="F459" s="16" t="n"/>
      <c r="G459">
        <f>IF(A459="","",YEAR(A459))</f>
        <v/>
      </c>
      <c r="H459">
        <f>IF(A459="","",IF(MONTH(A459)&lt;=3,1,IF(MONTH(A459)&lt;=5,2,IF(MONTH(A459)&lt;=8,3,4))))</f>
        <v/>
      </c>
      <c r="I459">
        <f>IF(A459="","",MONTH(A459))</f>
        <v/>
      </c>
    </row>
    <row r="460">
      <c r="A460" s="15" t="n"/>
      <c r="B460" s="16" t="n"/>
      <c r="C460" s="16" t="n"/>
      <c r="D460" s="16" t="n"/>
      <c r="E460" s="18" t="n"/>
      <c r="F460" s="16" t="n"/>
      <c r="G460">
        <f>IF(A460="","",YEAR(A460))</f>
        <v/>
      </c>
      <c r="H460">
        <f>IF(A460="","",IF(MONTH(A460)&lt;=3,1,IF(MONTH(A460)&lt;=5,2,IF(MONTH(A460)&lt;=8,3,4))))</f>
        <v/>
      </c>
      <c r="I460">
        <f>IF(A460="","",MONTH(A460))</f>
        <v/>
      </c>
    </row>
    <row r="461">
      <c r="A461" s="15" t="n"/>
      <c r="B461" s="16" t="n"/>
      <c r="C461" s="16" t="n"/>
      <c r="D461" s="16" t="n"/>
      <c r="E461" s="18" t="n"/>
      <c r="F461" s="16" t="n"/>
      <c r="G461">
        <f>IF(A461="","",YEAR(A461))</f>
        <v/>
      </c>
      <c r="H461">
        <f>IF(A461="","",IF(MONTH(A461)&lt;=3,1,IF(MONTH(A461)&lt;=5,2,IF(MONTH(A461)&lt;=8,3,4))))</f>
        <v/>
      </c>
      <c r="I461">
        <f>IF(A461="","",MONTH(A461))</f>
        <v/>
      </c>
    </row>
    <row r="462">
      <c r="A462" s="15" t="n"/>
      <c r="B462" s="16" t="n"/>
      <c r="C462" s="16" t="n"/>
      <c r="D462" s="16" t="n"/>
      <c r="E462" s="18" t="n"/>
      <c r="F462" s="16" t="n"/>
      <c r="G462">
        <f>IF(A462="","",YEAR(A462))</f>
        <v/>
      </c>
      <c r="H462">
        <f>IF(A462="","",IF(MONTH(A462)&lt;=3,1,IF(MONTH(A462)&lt;=5,2,IF(MONTH(A462)&lt;=8,3,4))))</f>
        <v/>
      </c>
      <c r="I462">
        <f>IF(A462="","",MONTH(A462))</f>
        <v/>
      </c>
    </row>
    <row r="463">
      <c r="A463" s="15" t="n"/>
      <c r="B463" s="16" t="n"/>
      <c r="C463" s="16" t="n"/>
      <c r="D463" s="16" t="n"/>
      <c r="E463" s="18" t="n"/>
      <c r="F463" s="16" t="n"/>
      <c r="G463">
        <f>IF(A463="","",YEAR(A463))</f>
        <v/>
      </c>
      <c r="H463">
        <f>IF(A463="","",IF(MONTH(A463)&lt;=3,1,IF(MONTH(A463)&lt;=5,2,IF(MONTH(A463)&lt;=8,3,4))))</f>
        <v/>
      </c>
      <c r="I463">
        <f>IF(A463="","",MONTH(A463))</f>
        <v/>
      </c>
    </row>
    <row r="464">
      <c r="A464" s="15" t="n"/>
      <c r="B464" s="16" t="n"/>
      <c r="C464" s="16" t="n"/>
      <c r="D464" s="16" t="n"/>
      <c r="E464" s="18" t="n"/>
      <c r="F464" s="16" t="n"/>
      <c r="G464">
        <f>IF(A464="","",YEAR(A464))</f>
        <v/>
      </c>
      <c r="H464">
        <f>IF(A464="","",IF(MONTH(A464)&lt;=3,1,IF(MONTH(A464)&lt;=5,2,IF(MONTH(A464)&lt;=8,3,4))))</f>
        <v/>
      </c>
      <c r="I464">
        <f>IF(A464="","",MONTH(A464))</f>
        <v/>
      </c>
    </row>
    <row r="465">
      <c r="A465" s="15" t="n"/>
      <c r="B465" s="16" t="n"/>
      <c r="C465" s="16" t="n"/>
      <c r="D465" s="16" t="n"/>
      <c r="E465" s="18" t="n"/>
      <c r="F465" s="16" t="n"/>
      <c r="G465">
        <f>IF(A465="","",YEAR(A465))</f>
        <v/>
      </c>
      <c r="H465">
        <f>IF(A465="","",IF(MONTH(A465)&lt;=3,1,IF(MONTH(A465)&lt;=5,2,IF(MONTH(A465)&lt;=8,3,4))))</f>
        <v/>
      </c>
      <c r="I465">
        <f>IF(A465="","",MONTH(A465))</f>
        <v/>
      </c>
    </row>
    <row r="466">
      <c r="A466" s="15" t="n"/>
      <c r="B466" s="16" t="n"/>
      <c r="C466" s="16" t="n"/>
      <c r="D466" s="16" t="n"/>
      <c r="E466" s="18" t="n"/>
      <c r="F466" s="16" t="n"/>
      <c r="G466">
        <f>IF(A466="","",YEAR(A466))</f>
        <v/>
      </c>
      <c r="H466">
        <f>IF(A466="","",IF(MONTH(A466)&lt;=3,1,IF(MONTH(A466)&lt;=5,2,IF(MONTH(A466)&lt;=8,3,4))))</f>
        <v/>
      </c>
      <c r="I466">
        <f>IF(A466="","",MONTH(A466))</f>
        <v/>
      </c>
    </row>
    <row r="467">
      <c r="A467" s="15" t="n"/>
      <c r="B467" s="16" t="n"/>
      <c r="C467" s="16" t="n"/>
      <c r="D467" s="16" t="n"/>
      <c r="E467" s="18" t="n"/>
      <c r="F467" s="16" t="n"/>
      <c r="G467">
        <f>IF(A467="","",YEAR(A467))</f>
        <v/>
      </c>
      <c r="H467">
        <f>IF(A467="","",IF(MONTH(A467)&lt;=3,1,IF(MONTH(A467)&lt;=5,2,IF(MONTH(A467)&lt;=8,3,4))))</f>
        <v/>
      </c>
      <c r="I467">
        <f>IF(A467="","",MONTH(A467))</f>
        <v/>
      </c>
    </row>
    <row r="468">
      <c r="A468" s="15" t="n"/>
      <c r="B468" s="16" t="n"/>
      <c r="C468" s="16" t="n"/>
      <c r="D468" s="16" t="n"/>
      <c r="E468" s="18" t="n"/>
      <c r="F468" s="16" t="n"/>
      <c r="G468">
        <f>IF(A468="","",YEAR(A468))</f>
        <v/>
      </c>
      <c r="H468">
        <f>IF(A468="","",IF(MONTH(A468)&lt;=3,1,IF(MONTH(A468)&lt;=5,2,IF(MONTH(A468)&lt;=8,3,4))))</f>
        <v/>
      </c>
      <c r="I468">
        <f>IF(A468="","",MONTH(A468))</f>
        <v/>
      </c>
    </row>
    <row r="469">
      <c r="A469" s="15" t="n"/>
      <c r="B469" s="16" t="n"/>
      <c r="C469" s="16" t="n"/>
      <c r="D469" s="16" t="n"/>
      <c r="E469" s="18" t="n"/>
      <c r="F469" s="16" t="n"/>
      <c r="G469">
        <f>IF(A469="","",YEAR(A469))</f>
        <v/>
      </c>
      <c r="H469">
        <f>IF(A469="","",IF(MONTH(A469)&lt;=3,1,IF(MONTH(A469)&lt;=5,2,IF(MONTH(A469)&lt;=8,3,4))))</f>
        <v/>
      </c>
      <c r="I469">
        <f>IF(A469="","",MONTH(A469))</f>
        <v/>
      </c>
    </row>
    <row r="470">
      <c r="A470" s="15" t="n"/>
      <c r="B470" s="16" t="n"/>
      <c r="C470" s="16" t="n"/>
      <c r="D470" s="16" t="n"/>
      <c r="E470" s="18" t="n"/>
      <c r="F470" s="16" t="n"/>
      <c r="G470">
        <f>IF(A470="","",YEAR(A470))</f>
        <v/>
      </c>
      <c r="H470">
        <f>IF(A470="","",IF(MONTH(A470)&lt;=3,1,IF(MONTH(A470)&lt;=5,2,IF(MONTH(A470)&lt;=8,3,4))))</f>
        <v/>
      </c>
      <c r="I470">
        <f>IF(A470="","",MONTH(A470))</f>
        <v/>
      </c>
    </row>
    <row r="471">
      <c r="A471" s="15" t="n"/>
      <c r="B471" s="16" t="n"/>
      <c r="C471" s="16" t="n"/>
      <c r="D471" s="16" t="n"/>
      <c r="E471" s="18" t="n"/>
      <c r="F471" s="16" t="n"/>
      <c r="G471">
        <f>IF(A471="","",YEAR(A471))</f>
        <v/>
      </c>
      <c r="H471">
        <f>IF(A471="","",IF(MONTH(A471)&lt;=3,1,IF(MONTH(A471)&lt;=5,2,IF(MONTH(A471)&lt;=8,3,4))))</f>
        <v/>
      </c>
      <c r="I471">
        <f>IF(A471="","",MONTH(A471))</f>
        <v/>
      </c>
    </row>
    <row r="472">
      <c r="A472" s="15" t="n"/>
      <c r="B472" s="16" t="n"/>
      <c r="C472" s="16" t="n"/>
      <c r="D472" s="16" t="n"/>
      <c r="E472" s="18" t="n"/>
      <c r="F472" s="16" t="n"/>
      <c r="G472">
        <f>IF(A472="","",YEAR(A472))</f>
        <v/>
      </c>
      <c r="H472">
        <f>IF(A472="","",IF(MONTH(A472)&lt;=3,1,IF(MONTH(A472)&lt;=5,2,IF(MONTH(A472)&lt;=8,3,4))))</f>
        <v/>
      </c>
      <c r="I472">
        <f>IF(A472="","",MONTH(A472))</f>
        <v/>
      </c>
    </row>
    <row r="473">
      <c r="A473" s="15" t="n"/>
      <c r="B473" s="16" t="n"/>
      <c r="C473" s="16" t="n"/>
      <c r="D473" s="16" t="n"/>
      <c r="E473" s="18" t="n"/>
      <c r="F473" s="16" t="n"/>
      <c r="G473">
        <f>IF(A473="","",YEAR(A473))</f>
        <v/>
      </c>
      <c r="H473">
        <f>IF(A473="","",IF(MONTH(A473)&lt;=3,1,IF(MONTH(A473)&lt;=5,2,IF(MONTH(A473)&lt;=8,3,4))))</f>
        <v/>
      </c>
      <c r="I473">
        <f>IF(A473="","",MONTH(A473))</f>
        <v/>
      </c>
    </row>
    <row r="474">
      <c r="A474" s="15" t="n"/>
      <c r="B474" s="16" t="n"/>
      <c r="C474" s="16" t="n"/>
      <c r="D474" s="16" t="n"/>
      <c r="E474" s="18" t="n"/>
      <c r="F474" s="16" t="n"/>
      <c r="G474">
        <f>IF(A474="","",YEAR(A474))</f>
        <v/>
      </c>
      <c r="H474">
        <f>IF(A474="","",IF(MONTH(A474)&lt;=3,1,IF(MONTH(A474)&lt;=5,2,IF(MONTH(A474)&lt;=8,3,4))))</f>
        <v/>
      </c>
      <c r="I474">
        <f>IF(A474="","",MONTH(A474))</f>
        <v/>
      </c>
    </row>
    <row r="475">
      <c r="A475" s="15" t="n"/>
      <c r="B475" s="16" t="n"/>
      <c r="C475" s="16" t="n"/>
      <c r="D475" s="16" t="n"/>
      <c r="E475" s="18" t="n"/>
      <c r="F475" s="16" t="n"/>
      <c r="G475">
        <f>IF(A475="","",YEAR(A475))</f>
        <v/>
      </c>
      <c r="H475">
        <f>IF(A475="","",IF(MONTH(A475)&lt;=3,1,IF(MONTH(A475)&lt;=5,2,IF(MONTH(A475)&lt;=8,3,4))))</f>
        <v/>
      </c>
      <c r="I475">
        <f>IF(A475="","",MONTH(A475))</f>
        <v/>
      </c>
    </row>
    <row r="476">
      <c r="A476" s="15" t="n"/>
      <c r="B476" s="16" t="n"/>
      <c r="C476" s="16" t="n"/>
      <c r="D476" s="16" t="n"/>
      <c r="E476" s="18" t="n"/>
      <c r="F476" s="16" t="n"/>
      <c r="G476">
        <f>IF(A476="","",YEAR(A476))</f>
        <v/>
      </c>
      <c r="H476">
        <f>IF(A476="","",IF(MONTH(A476)&lt;=3,1,IF(MONTH(A476)&lt;=5,2,IF(MONTH(A476)&lt;=8,3,4))))</f>
        <v/>
      </c>
      <c r="I476">
        <f>IF(A476="","",MONTH(A476))</f>
        <v/>
      </c>
    </row>
    <row r="477">
      <c r="A477" s="15" t="n"/>
      <c r="B477" s="16" t="n"/>
      <c r="C477" s="16" t="n"/>
      <c r="D477" s="16" t="n"/>
      <c r="E477" s="18" t="n"/>
      <c r="F477" s="16" t="n"/>
      <c r="G477">
        <f>IF(A477="","",YEAR(A477))</f>
        <v/>
      </c>
      <c r="H477">
        <f>IF(A477="","",IF(MONTH(A477)&lt;=3,1,IF(MONTH(A477)&lt;=5,2,IF(MONTH(A477)&lt;=8,3,4))))</f>
        <v/>
      </c>
      <c r="I477">
        <f>IF(A477="","",MONTH(A477))</f>
        <v/>
      </c>
    </row>
    <row r="478">
      <c r="A478" s="15" t="n"/>
      <c r="B478" s="16" t="n"/>
      <c r="C478" s="16" t="n"/>
      <c r="D478" s="16" t="n"/>
      <c r="E478" s="18" t="n"/>
      <c r="F478" s="16" t="n"/>
      <c r="G478">
        <f>IF(A478="","",YEAR(A478))</f>
        <v/>
      </c>
      <c r="H478">
        <f>IF(A478="","",IF(MONTH(A478)&lt;=3,1,IF(MONTH(A478)&lt;=5,2,IF(MONTH(A478)&lt;=8,3,4))))</f>
        <v/>
      </c>
      <c r="I478">
        <f>IF(A478="","",MONTH(A478))</f>
        <v/>
      </c>
    </row>
    <row r="479">
      <c r="A479" s="15" t="n"/>
      <c r="B479" s="16" t="n"/>
      <c r="C479" s="16" t="n"/>
      <c r="D479" s="16" t="n"/>
      <c r="E479" s="18" t="n"/>
      <c r="F479" s="16" t="n"/>
      <c r="G479">
        <f>IF(A479="","",YEAR(A479))</f>
        <v/>
      </c>
      <c r="H479">
        <f>IF(A479="","",IF(MONTH(A479)&lt;=3,1,IF(MONTH(A479)&lt;=5,2,IF(MONTH(A479)&lt;=8,3,4))))</f>
        <v/>
      </c>
      <c r="I479">
        <f>IF(A479="","",MONTH(A479))</f>
        <v/>
      </c>
    </row>
    <row r="480">
      <c r="A480" s="15" t="n"/>
      <c r="B480" s="16" t="n"/>
      <c r="C480" s="16" t="n"/>
      <c r="D480" s="16" t="n"/>
      <c r="E480" s="18" t="n"/>
      <c r="F480" s="16" t="n"/>
      <c r="G480">
        <f>IF(A480="","",YEAR(A480))</f>
        <v/>
      </c>
      <c r="H480">
        <f>IF(A480="","",IF(MONTH(A480)&lt;=3,1,IF(MONTH(A480)&lt;=5,2,IF(MONTH(A480)&lt;=8,3,4))))</f>
        <v/>
      </c>
      <c r="I480">
        <f>IF(A480="","",MONTH(A480))</f>
        <v/>
      </c>
    </row>
    <row r="481">
      <c r="A481" s="15" t="n"/>
      <c r="B481" s="16" t="n"/>
      <c r="C481" s="16" t="n"/>
      <c r="D481" s="16" t="n"/>
      <c r="E481" s="18" t="n"/>
      <c r="F481" s="16" t="n"/>
      <c r="G481">
        <f>IF(A481="","",YEAR(A481))</f>
        <v/>
      </c>
      <c r="H481">
        <f>IF(A481="","",IF(MONTH(A481)&lt;=3,1,IF(MONTH(A481)&lt;=5,2,IF(MONTH(A481)&lt;=8,3,4))))</f>
        <v/>
      </c>
      <c r="I481">
        <f>IF(A481="","",MONTH(A481))</f>
        <v/>
      </c>
    </row>
    <row r="482">
      <c r="A482" s="15" t="n"/>
      <c r="B482" s="16" t="n"/>
      <c r="C482" s="16" t="n"/>
      <c r="D482" s="16" t="n"/>
      <c r="E482" s="18" t="n"/>
      <c r="F482" s="16" t="n"/>
      <c r="G482">
        <f>IF(A482="","",YEAR(A482))</f>
        <v/>
      </c>
      <c r="H482">
        <f>IF(A482="","",IF(MONTH(A482)&lt;=3,1,IF(MONTH(A482)&lt;=5,2,IF(MONTH(A482)&lt;=8,3,4))))</f>
        <v/>
      </c>
      <c r="I482">
        <f>IF(A482="","",MONTH(A482))</f>
        <v/>
      </c>
    </row>
    <row r="483">
      <c r="A483" s="15" t="n"/>
      <c r="B483" s="16" t="n"/>
      <c r="C483" s="16" t="n"/>
      <c r="D483" s="16" t="n"/>
      <c r="E483" s="18" t="n"/>
      <c r="F483" s="16" t="n"/>
      <c r="G483">
        <f>IF(A483="","",YEAR(A483))</f>
        <v/>
      </c>
      <c r="H483">
        <f>IF(A483="","",IF(MONTH(A483)&lt;=3,1,IF(MONTH(A483)&lt;=5,2,IF(MONTH(A483)&lt;=8,3,4))))</f>
        <v/>
      </c>
      <c r="I483">
        <f>IF(A483="","",MONTH(A483))</f>
        <v/>
      </c>
    </row>
    <row r="484">
      <c r="A484" s="15" t="n"/>
      <c r="B484" s="16" t="n"/>
      <c r="C484" s="16" t="n"/>
      <c r="D484" s="16" t="n"/>
      <c r="E484" s="18" t="n"/>
      <c r="F484" s="16" t="n"/>
      <c r="G484">
        <f>IF(A484="","",YEAR(A484))</f>
        <v/>
      </c>
      <c r="H484">
        <f>IF(A484="","",IF(MONTH(A484)&lt;=3,1,IF(MONTH(A484)&lt;=5,2,IF(MONTH(A484)&lt;=8,3,4))))</f>
        <v/>
      </c>
      <c r="I484">
        <f>IF(A484="","",MONTH(A484))</f>
        <v/>
      </c>
    </row>
    <row r="485">
      <c r="A485" s="15" t="n"/>
      <c r="B485" s="16" t="n"/>
      <c r="C485" s="16" t="n"/>
      <c r="D485" s="16" t="n"/>
      <c r="E485" s="18" t="n"/>
      <c r="F485" s="16" t="n"/>
      <c r="G485">
        <f>IF(A485="","",YEAR(A485))</f>
        <v/>
      </c>
      <c r="H485">
        <f>IF(A485="","",IF(MONTH(A485)&lt;=3,1,IF(MONTH(A485)&lt;=5,2,IF(MONTH(A485)&lt;=8,3,4))))</f>
        <v/>
      </c>
      <c r="I485">
        <f>IF(A485="","",MONTH(A485))</f>
        <v/>
      </c>
    </row>
    <row r="486">
      <c r="A486" s="15" t="n"/>
      <c r="B486" s="16" t="n"/>
      <c r="C486" s="16" t="n"/>
      <c r="D486" s="16" t="n"/>
      <c r="E486" s="18" t="n"/>
      <c r="F486" s="16" t="n"/>
      <c r="G486">
        <f>IF(A486="","",YEAR(A486))</f>
        <v/>
      </c>
      <c r="H486">
        <f>IF(A486="","",IF(MONTH(A486)&lt;=3,1,IF(MONTH(A486)&lt;=5,2,IF(MONTH(A486)&lt;=8,3,4))))</f>
        <v/>
      </c>
      <c r="I486">
        <f>IF(A486="","",MONTH(A486))</f>
        <v/>
      </c>
    </row>
    <row r="487">
      <c r="A487" s="15" t="n"/>
      <c r="B487" s="16" t="n"/>
      <c r="C487" s="16" t="n"/>
      <c r="D487" s="16" t="n"/>
      <c r="E487" s="18" t="n"/>
      <c r="F487" s="16" t="n"/>
      <c r="G487">
        <f>IF(A487="","",YEAR(A487))</f>
        <v/>
      </c>
      <c r="H487">
        <f>IF(A487="","",IF(MONTH(A487)&lt;=3,1,IF(MONTH(A487)&lt;=5,2,IF(MONTH(A487)&lt;=8,3,4))))</f>
        <v/>
      </c>
      <c r="I487">
        <f>IF(A487="","",MONTH(A487))</f>
        <v/>
      </c>
    </row>
    <row r="488">
      <c r="A488" s="15" t="n"/>
      <c r="B488" s="16" t="n"/>
      <c r="C488" s="16" t="n"/>
      <c r="D488" s="16" t="n"/>
      <c r="E488" s="18" t="n"/>
      <c r="F488" s="16" t="n"/>
      <c r="G488">
        <f>IF(A488="","",YEAR(A488))</f>
        <v/>
      </c>
      <c r="H488">
        <f>IF(A488="","",IF(MONTH(A488)&lt;=3,1,IF(MONTH(A488)&lt;=5,2,IF(MONTH(A488)&lt;=8,3,4))))</f>
        <v/>
      </c>
      <c r="I488">
        <f>IF(A488="","",MONTH(A488))</f>
        <v/>
      </c>
    </row>
    <row r="489">
      <c r="A489" s="15" t="n"/>
      <c r="B489" s="16" t="n"/>
      <c r="C489" s="16" t="n"/>
      <c r="D489" s="16" t="n"/>
      <c r="E489" s="18" t="n"/>
      <c r="F489" s="16" t="n"/>
      <c r="G489">
        <f>IF(A489="","",YEAR(A489))</f>
        <v/>
      </c>
      <c r="H489">
        <f>IF(A489="","",IF(MONTH(A489)&lt;=3,1,IF(MONTH(A489)&lt;=5,2,IF(MONTH(A489)&lt;=8,3,4))))</f>
        <v/>
      </c>
      <c r="I489">
        <f>IF(A489="","",MONTH(A489))</f>
        <v/>
      </c>
    </row>
    <row r="490">
      <c r="A490" s="15" t="n"/>
      <c r="B490" s="16" t="n"/>
      <c r="C490" s="16" t="n"/>
      <c r="D490" s="16" t="n"/>
      <c r="E490" s="18" t="n"/>
      <c r="F490" s="16" t="n"/>
      <c r="G490">
        <f>IF(A490="","",YEAR(A490))</f>
        <v/>
      </c>
      <c r="H490">
        <f>IF(A490="","",IF(MONTH(A490)&lt;=3,1,IF(MONTH(A490)&lt;=5,2,IF(MONTH(A490)&lt;=8,3,4))))</f>
        <v/>
      </c>
      <c r="I490">
        <f>IF(A490="","",MONTH(A490))</f>
        <v/>
      </c>
    </row>
    <row r="491">
      <c r="A491" s="15" t="n"/>
      <c r="B491" s="16" t="n"/>
      <c r="C491" s="16" t="n"/>
      <c r="D491" s="16" t="n"/>
      <c r="E491" s="18" t="n"/>
      <c r="F491" s="16" t="n"/>
      <c r="G491">
        <f>IF(A491="","",YEAR(A491))</f>
        <v/>
      </c>
      <c r="H491">
        <f>IF(A491="","",IF(MONTH(A491)&lt;=3,1,IF(MONTH(A491)&lt;=5,2,IF(MONTH(A491)&lt;=8,3,4))))</f>
        <v/>
      </c>
      <c r="I491">
        <f>IF(A491="","",MONTH(A491))</f>
        <v/>
      </c>
    </row>
    <row r="492">
      <c r="A492" s="15" t="n"/>
      <c r="B492" s="16" t="n"/>
      <c r="C492" s="16" t="n"/>
      <c r="D492" s="16" t="n"/>
      <c r="E492" s="18" t="n"/>
      <c r="F492" s="16" t="n"/>
      <c r="G492">
        <f>IF(A492="","",YEAR(A492))</f>
        <v/>
      </c>
      <c r="H492">
        <f>IF(A492="","",IF(MONTH(A492)&lt;=3,1,IF(MONTH(A492)&lt;=5,2,IF(MONTH(A492)&lt;=8,3,4))))</f>
        <v/>
      </c>
      <c r="I492">
        <f>IF(A492="","",MONTH(A492))</f>
        <v/>
      </c>
    </row>
    <row r="493">
      <c r="A493" s="15" t="n"/>
      <c r="B493" s="16" t="n"/>
      <c r="C493" s="16" t="n"/>
      <c r="D493" s="16" t="n"/>
      <c r="E493" s="18" t="n"/>
      <c r="F493" s="16" t="n"/>
      <c r="G493">
        <f>IF(A493="","",YEAR(A493))</f>
        <v/>
      </c>
      <c r="H493">
        <f>IF(A493="","",IF(MONTH(A493)&lt;=3,1,IF(MONTH(A493)&lt;=5,2,IF(MONTH(A493)&lt;=8,3,4))))</f>
        <v/>
      </c>
      <c r="I493">
        <f>IF(A493="","",MONTH(A493))</f>
        <v/>
      </c>
    </row>
    <row r="494">
      <c r="A494" s="15" t="n"/>
      <c r="B494" s="16" t="n"/>
      <c r="C494" s="16" t="n"/>
      <c r="D494" s="16" t="n"/>
      <c r="E494" s="18" t="n"/>
      <c r="F494" s="16" t="n"/>
      <c r="G494">
        <f>IF(A494="","",YEAR(A494))</f>
        <v/>
      </c>
      <c r="H494">
        <f>IF(A494="","",IF(MONTH(A494)&lt;=3,1,IF(MONTH(A494)&lt;=5,2,IF(MONTH(A494)&lt;=8,3,4))))</f>
        <v/>
      </c>
      <c r="I494">
        <f>IF(A494="","",MONTH(A494))</f>
        <v/>
      </c>
    </row>
    <row r="495">
      <c r="A495" s="15" t="n"/>
      <c r="B495" s="16" t="n"/>
      <c r="C495" s="16" t="n"/>
      <c r="D495" s="16" t="n"/>
      <c r="E495" s="18" t="n"/>
      <c r="F495" s="16" t="n"/>
      <c r="G495">
        <f>IF(A495="","",YEAR(A495))</f>
        <v/>
      </c>
      <c r="H495">
        <f>IF(A495="","",IF(MONTH(A495)&lt;=3,1,IF(MONTH(A495)&lt;=5,2,IF(MONTH(A495)&lt;=8,3,4))))</f>
        <v/>
      </c>
      <c r="I495">
        <f>IF(A495="","",MONTH(A495))</f>
        <v/>
      </c>
    </row>
    <row r="496">
      <c r="A496" s="15" t="n"/>
      <c r="B496" s="16" t="n"/>
      <c r="C496" s="16" t="n"/>
      <c r="D496" s="16" t="n"/>
      <c r="E496" s="18" t="n"/>
      <c r="F496" s="16" t="n"/>
      <c r="G496">
        <f>IF(A496="","",YEAR(A496))</f>
        <v/>
      </c>
      <c r="H496">
        <f>IF(A496="","",IF(MONTH(A496)&lt;=3,1,IF(MONTH(A496)&lt;=5,2,IF(MONTH(A496)&lt;=8,3,4))))</f>
        <v/>
      </c>
      <c r="I496">
        <f>IF(A496="","",MONTH(A496))</f>
        <v/>
      </c>
    </row>
    <row r="497">
      <c r="A497" s="15" t="n"/>
      <c r="B497" s="16" t="n"/>
      <c r="C497" s="16" t="n"/>
      <c r="D497" s="16" t="n"/>
      <c r="E497" s="18" t="n"/>
      <c r="F497" s="16" t="n"/>
      <c r="G497">
        <f>IF(A497="","",YEAR(A497))</f>
        <v/>
      </c>
      <c r="H497">
        <f>IF(A497="","",IF(MONTH(A497)&lt;=3,1,IF(MONTH(A497)&lt;=5,2,IF(MONTH(A497)&lt;=8,3,4))))</f>
        <v/>
      </c>
      <c r="I497">
        <f>IF(A497="","",MONTH(A497))</f>
        <v/>
      </c>
    </row>
    <row r="498">
      <c r="A498" s="15" t="n"/>
      <c r="B498" s="16" t="n"/>
      <c r="C498" s="16" t="n"/>
      <c r="D498" s="16" t="n"/>
      <c r="E498" s="18" t="n"/>
      <c r="F498" s="16" t="n"/>
      <c r="G498">
        <f>IF(A498="","",YEAR(A498))</f>
        <v/>
      </c>
      <c r="H498">
        <f>IF(A498="","",IF(MONTH(A498)&lt;=3,1,IF(MONTH(A498)&lt;=5,2,IF(MONTH(A498)&lt;=8,3,4))))</f>
        <v/>
      </c>
      <c r="I498">
        <f>IF(A498="","",MONTH(A498))</f>
        <v/>
      </c>
    </row>
    <row r="499">
      <c r="A499" s="15" t="n"/>
      <c r="B499" s="16" t="n"/>
      <c r="C499" s="16" t="n"/>
      <c r="D499" s="16" t="n"/>
      <c r="E499" s="18" t="n"/>
      <c r="F499" s="16" t="n"/>
      <c r="G499">
        <f>IF(A499="","",YEAR(A499))</f>
        <v/>
      </c>
      <c r="H499">
        <f>IF(A499="","",IF(MONTH(A499)&lt;=3,1,IF(MONTH(A499)&lt;=5,2,IF(MONTH(A499)&lt;=8,3,4))))</f>
        <v/>
      </c>
      <c r="I499">
        <f>IF(A499="","",MONTH(A499))</f>
        <v/>
      </c>
    </row>
    <row r="500">
      <c r="A500" s="15" t="n"/>
      <c r="B500" s="16" t="n"/>
      <c r="C500" s="16" t="n"/>
      <c r="D500" s="16" t="n"/>
      <c r="E500" s="18" t="n"/>
      <c r="F500" s="16" t="n"/>
      <c r="G500">
        <f>IF(A500="","",YEAR(A500))</f>
        <v/>
      </c>
      <c r="H500">
        <f>IF(A500="","",IF(MONTH(A500)&lt;=3,1,IF(MONTH(A500)&lt;=5,2,IF(MONTH(A500)&lt;=8,3,4))))</f>
        <v/>
      </c>
      <c r="I500">
        <f>IF(A500="","",MONTH(A500))</f>
        <v/>
      </c>
    </row>
    <row r="501">
      <c r="A501" s="15" t="n"/>
      <c r="B501" s="16" t="n"/>
      <c r="C501" s="16" t="n"/>
      <c r="D501" s="16" t="n"/>
      <c r="E501" s="18" t="n"/>
      <c r="F501" s="16" t="n"/>
      <c r="G501">
        <f>IF(A501="","",YEAR(A501))</f>
        <v/>
      </c>
      <c r="H501">
        <f>IF(A501="","",IF(MONTH(A501)&lt;=3,1,IF(MONTH(A501)&lt;=5,2,IF(MONTH(A501)&lt;=8,3,4))))</f>
        <v/>
      </c>
      <c r="I501">
        <f>IF(A501="","",MONTH(A501))</f>
        <v/>
      </c>
    </row>
    <row r="502">
      <c r="A502" s="15" t="n"/>
      <c r="B502" s="16" t="n"/>
      <c r="C502" s="16" t="n"/>
      <c r="D502" s="16" t="n"/>
      <c r="E502" s="18" t="n"/>
      <c r="F502" s="16" t="n"/>
      <c r="G502">
        <f>IF(A502="","",YEAR(A502))</f>
        <v/>
      </c>
      <c r="H502">
        <f>IF(A502="","",IF(MONTH(A502)&lt;=3,1,IF(MONTH(A502)&lt;=5,2,IF(MONTH(A502)&lt;=8,3,4))))</f>
        <v/>
      </c>
      <c r="I502">
        <f>IF(A502="","",MONTH(A502))</f>
        <v/>
      </c>
    </row>
    <row r="503">
      <c r="A503" s="15" t="n"/>
      <c r="B503" s="16" t="n"/>
      <c r="C503" s="16" t="n"/>
      <c r="D503" s="16" t="n"/>
      <c r="E503" s="18" t="n"/>
      <c r="F503" s="16" t="n"/>
      <c r="G503">
        <f>IF(A503="","",YEAR(A503))</f>
        <v/>
      </c>
      <c r="H503">
        <f>IF(A503="","",IF(MONTH(A503)&lt;=3,1,IF(MONTH(A503)&lt;=5,2,IF(MONTH(A503)&lt;=8,3,4))))</f>
        <v/>
      </c>
      <c r="I503">
        <f>IF(A503="","",MONTH(A503))</f>
        <v/>
      </c>
    </row>
    <row r="504">
      <c r="A504" s="15" t="n"/>
      <c r="B504" s="16" t="n"/>
      <c r="C504" s="16" t="n"/>
      <c r="D504" s="16" t="n"/>
      <c r="E504" s="18" t="n"/>
      <c r="F504" s="16" t="n"/>
      <c r="G504">
        <f>IF(A504="","",YEAR(A504))</f>
        <v/>
      </c>
      <c r="H504">
        <f>IF(A504="","",IF(MONTH(A504)&lt;=3,1,IF(MONTH(A504)&lt;=5,2,IF(MONTH(A504)&lt;=8,3,4))))</f>
        <v/>
      </c>
      <c r="I504">
        <f>IF(A504="","",MONTH(A504))</f>
        <v/>
      </c>
    </row>
  </sheetData>
  <dataValidations count="1">
    <dataValidation sqref="F5:F504" showDropDown="0" showInputMessage="0" showErrorMessage="0" allowBlank="1" type="list">
      <formula1>"Bank transfer,PayPal,Stripe,Wise,Check,Cash,Other"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2" customWidth="1" min="4" max="4"/>
    <col width="14" customWidth="1" min="5" max="5"/>
    <col width="12" customWidth="1" min="6" max="6"/>
    <col width="16" customWidth="1" min="7" max="7"/>
    <col width="8" customWidth="1" min="8" max="8"/>
    <col width="10" customWidth="1" min="9" max="9"/>
    <col width="8" customWidth="1" min="10" max="10"/>
  </cols>
  <sheetData>
    <row r="1">
      <c r="A1" s="1" t="inlineStr">
        <is>
          <t>Expense log</t>
        </is>
      </c>
    </row>
    <row r="2">
      <c r="A2" s="2" t="inlineStr">
        <is>
          <t>Deductible % lets you log partial-use items (phone 50%, meals 50%). Leave blank for 100%.</t>
        </is>
      </c>
    </row>
    <row r="4" ht="30" customHeight="1">
      <c r="A4" s="17" t="inlineStr">
        <is>
          <t>Date</t>
        </is>
      </c>
      <c r="B4" s="17" t="inlineStr">
        <is>
          <t>Vendor</t>
        </is>
      </c>
      <c r="C4" s="17" t="inlineStr">
        <is>
          <t>Category</t>
        </is>
      </c>
      <c r="D4" s="17" t="inlineStr">
        <is>
          <t>Description</t>
        </is>
      </c>
      <c r="E4" s="17" t="inlineStr">
        <is>
          <t>Amount paid</t>
        </is>
      </c>
      <c r="F4" s="17" t="inlineStr">
        <is>
          <t>Deductible %</t>
        </is>
      </c>
      <c r="G4" s="17" t="inlineStr">
        <is>
          <t>Deductible amount</t>
        </is>
      </c>
      <c r="H4" s="17" t="inlineStr">
        <is>
          <t>Year</t>
        </is>
      </c>
      <c r="I4" s="17" t="inlineStr">
        <is>
          <t>Tax period</t>
        </is>
      </c>
      <c r="J4" s="17" t="inlineStr">
        <is>
          <t>Month</t>
        </is>
      </c>
    </row>
    <row r="5">
      <c r="A5" s="15" t="n"/>
      <c r="B5" s="16" t="n"/>
      <c r="C5" s="16" t="n"/>
      <c r="D5" s="16" t="n"/>
      <c r="E5" s="18" t="n"/>
      <c r="F5" s="19" t="n"/>
      <c r="G5" s="6">
        <f>IF(OR(A5="",E5=""),"",E5*IF(F5="",1,F5))</f>
        <v/>
      </c>
      <c r="H5">
        <f>IF(A5="","",YEAR(A5))</f>
        <v/>
      </c>
      <c r="I5">
        <f>IF(A5="","",IF(MONTH(A5)&lt;=3,1,IF(MONTH(A5)&lt;=5,2,IF(MONTH(A5)&lt;=8,3,4))))</f>
        <v/>
      </c>
      <c r="J5">
        <f>IF(A5="","",MONTH(A5))</f>
        <v/>
      </c>
    </row>
    <row r="6">
      <c r="A6" s="15" t="n"/>
      <c r="B6" s="16" t="n"/>
      <c r="C6" s="16" t="n"/>
      <c r="D6" s="16" t="n"/>
      <c r="E6" s="18" t="n"/>
      <c r="F6" s="19" t="n"/>
      <c r="G6" s="6">
        <f>IF(OR(A6="",E6=""),"",E6*IF(F6="",1,F6))</f>
        <v/>
      </c>
      <c r="H6">
        <f>IF(A6="","",YEAR(A6))</f>
        <v/>
      </c>
      <c r="I6">
        <f>IF(A6="","",IF(MONTH(A6)&lt;=3,1,IF(MONTH(A6)&lt;=5,2,IF(MONTH(A6)&lt;=8,3,4))))</f>
        <v/>
      </c>
      <c r="J6">
        <f>IF(A6="","",MONTH(A6))</f>
        <v/>
      </c>
    </row>
    <row r="7">
      <c r="A7" s="15" t="n"/>
      <c r="B7" s="16" t="n"/>
      <c r="C7" s="16" t="n"/>
      <c r="D7" s="16" t="n"/>
      <c r="E7" s="18" t="n"/>
      <c r="F7" s="19" t="n"/>
      <c r="G7" s="6">
        <f>IF(OR(A7="",E7=""),"",E7*IF(F7="",1,F7))</f>
        <v/>
      </c>
      <c r="H7">
        <f>IF(A7="","",YEAR(A7))</f>
        <v/>
      </c>
      <c r="I7">
        <f>IF(A7="","",IF(MONTH(A7)&lt;=3,1,IF(MONTH(A7)&lt;=5,2,IF(MONTH(A7)&lt;=8,3,4))))</f>
        <v/>
      </c>
      <c r="J7">
        <f>IF(A7="","",MONTH(A7))</f>
        <v/>
      </c>
    </row>
    <row r="8">
      <c r="A8" s="15" t="n"/>
      <c r="B8" s="16" t="n"/>
      <c r="C8" s="16" t="n"/>
      <c r="D8" s="16" t="n"/>
      <c r="E8" s="18" t="n"/>
      <c r="F8" s="19" t="n"/>
      <c r="G8" s="6">
        <f>IF(OR(A8="",E8=""),"",E8*IF(F8="",1,F8))</f>
        <v/>
      </c>
      <c r="H8">
        <f>IF(A8="","",YEAR(A8))</f>
        <v/>
      </c>
      <c r="I8">
        <f>IF(A8="","",IF(MONTH(A8)&lt;=3,1,IF(MONTH(A8)&lt;=5,2,IF(MONTH(A8)&lt;=8,3,4))))</f>
        <v/>
      </c>
      <c r="J8">
        <f>IF(A8="","",MONTH(A8))</f>
        <v/>
      </c>
    </row>
    <row r="9">
      <c r="A9" s="15" t="n"/>
      <c r="B9" s="16" t="n"/>
      <c r="C9" s="16" t="n"/>
      <c r="D9" s="16" t="n"/>
      <c r="E9" s="18" t="n"/>
      <c r="F9" s="19" t="n"/>
      <c r="G9" s="6">
        <f>IF(OR(A9="",E9=""),"",E9*IF(F9="",1,F9))</f>
        <v/>
      </c>
      <c r="H9">
        <f>IF(A9="","",YEAR(A9))</f>
        <v/>
      </c>
      <c r="I9">
        <f>IF(A9="","",IF(MONTH(A9)&lt;=3,1,IF(MONTH(A9)&lt;=5,2,IF(MONTH(A9)&lt;=8,3,4))))</f>
        <v/>
      </c>
      <c r="J9">
        <f>IF(A9="","",MONTH(A9))</f>
        <v/>
      </c>
    </row>
    <row r="10">
      <c r="A10" s="15" t="n"/>
      <c r="B10" s="16" t="n"/>
      <c r="C10" s="16" t="n"/>
      <c r="D10" s="16" t="n"/>
      <c r="E10" s="18" t="n"/>
      <c r="F10" s="19" t="n"/>
      <c r="G10" s="6">
        <f>IF(OR(A10="",E10=""),"",E10*IF(F10="",1,F10))</f>
        <v/>
      </c>
      <c r="H10">
        <f>IF(A10="","",YEAR(A10))</f>
        <v/>
      </c>
      <c r="I10">
        <f>IF(A10="","",IF(MONTH(A10)&lt;=3,1,IF(MONTH(A10)&lt;=5,2,IF(MONTH(A10)&lt;=8,3,4))))</f>
        <v/>
      </c>
      <c r="J10">
        <f>IF(A10="","",MONTH(A10))</f>
        <v/>
      </c>
    </row>
    <row r="11">
      <c r="A11" s="15" t="n"/>
      <c r="B11" s="16" t="n"/>
      <c r="C11" s="16" t="n"/>
      <c r="D11" s="16" t="n"/>
      <c r="E11" s="18" t="n"/>
      <c r="F11" s="19" t="n"/>
      <c r="G11" s="6">
        <f>IF(OR(A11="",E11=""),"",E11*IF(F11="",1,F11))</f>
        <v/>
      </c>
      <c r="H11">
        <f>IF(A11="","",YEAR(A11))</f>
        <v/>
      </c>
      <c r="I11">
        <f>IF(A11="","",IF(MONTH(A11)&lt;=3,1,IF(MONTH(A11)&lt;=5,2,IF(MONTH(A11)&lt;=8,3,4))))</f>
        <v/>
      </c>
      <c r="J11">
        <f>IF(A11="","",MONTH(A11))</f>
        <v/>
      </c>
    </row>
    <row r="12">
      <c r="A12" s="15" t="n"/>
      <c r="B12" s="16" t="n"/>
      <c r="C12" s="16" t="n"/>
      <c r="D12" s="16" t="n"/>
      <c r="E12" s="18" t="n"/>
      <c r="F12" s="19" t="n"/>
      <c r="G12" s="6">
        <f>IF(OR(A12="",E12=""),"",E12*IF(F12="",1,F12))</f>
        <v/>
      </c>
      <c r="H12">
        <f>IF(A12="","",YEAR(A12))</f>
        <v/>
      </c>
      <c r="I12">
        <f>IF(A12="","",IF(MONTH(A12)&lt;=3,1,IF(MONTH(A12)&lt;=5,2,IF(MONTH(A12)&lt;=8,3,4))))</f>
        <v/>
      </c>
      <c r="J12">
        <f>IF(A12="","",MONTH(A12))</f>
        <v/>
      </c>
    </row>
    <row r="13">
      <c r="A13" s="15" t="n"/>
      <c r="B13" s="16" t="n"/>
      <c r="C13" s="16" t="n"/>
      <c r="D13" s="16" t="n"/>
      <c r="E13" s="18" t="n"/>
      <c r="F13" s="19" t="n"/>
      <c r="G13" s="6">
        <f>IF(OR(A13="",E13=""),"",E13*IF(F13="",1,F13))</f>
        <v/>
      </c>
      <c r="H13">
        <f>IF(A13="","",YEAR(A13))</f>
        <v/>
      </c>
      <c r="I13">
        <f>IF(A13="","",IF(MONTH(A13)&lt;=3,1,IF(MONTH(A13)&lt;=5,2,IF(MONTH(A13)&lt;=8,3,4))))</f>
        <v/>
      </c>
      <c r="J13">
        <f>IF(A13="","",MONTH(A13))</f>
        <v/>
      </c>
    </row>
    <row r="14">
      <c r="A14" s="15" t="n"/>
      <c r="B14" s="16" t="n"/>
      <c r="C14" s="16" t="n"/>
      <c r="D14" s="16" t="n"/>
      <c r="E14" s="18" t="n"/>
      <c r="F14" s="19" t="n"/>
      <c r="G14" s="6">
        <f>IF(OR(A14="",E14=""),"",E14*IF(F14="",1,F14))</f>
        <v/>
      </c>
      <c r="H14">
        <f>IF(A14="","",YEAR(A14))</f>
        <v/>
      </c>
      <c r="I14">
        <f>IF(A14="","",IF(MONTH(A14)&lt;=3,1,IF(MONTH(A14)&lt;=5,2,IF(MONTH(A14)&lt;=8,3,4))))</f>
        <v/>
      </c>
      <c r="J14">
        <f>IF(A14="","",MONTH(A14))</f>
        <v/>
      </c>
    </row>
    <row r="15">
      <c r="A15" s="15" t="n"/>
      <c r="B15" s="16" t="n"/>
      <c r="C15" s="16" t="n"/>
      <c r="D15" s="16" t="n"/>
      <c r="E15" s="18" t="n"/>
      <c r="F15" s="19" t="n"/>
      <c r="G15" s="6">
        <f>IF(OR(A15="",E15=""),"",E15*IF(F15="",1,F15))</f>
        <v/>
      </c>
      <c r="H15">
        <f>IF(A15="","",YEAR(A15))</f>
        <v/>
      </c>
      <c r="I15">
        <f>IF(A15="","",IF(MONTH(A15)&lt;=3,1,IF(MONTH(A15)&lt;=5,2,IF(MONTH(A15)&lt;=8,3,4))))</f>
        <v/>
      </c>
      <c r="J15">
        <f>IF(A15="","",MONTH(A15))</f>
        <v/>
      </c>
    </row>
    <row r="16">
      <c r="A16" s="15" t="n"/>
      <c r="B16" s="16" t="n"/>
      <c r="C16" s="16" t="n"/>
      <c r="D16" s="16" t="n"/>
      <c r="E16" s="18" t="n"/>
      <c r="F16" s="19" t="n"/>
      <c r="G16" s="6">
        <f>IF(OR(A16="",E16=""),"",E16*IF(F16="",1,F16))</f>
        <v/>
      </c>
      <c r="H16">
        <f>IF(A16="","",YEAR(A16))</f>
        <v/>
      </c>
      <c r="I16">
        <f>IF(A16="","",IF(MONTH(A16)&lt;=3,1,IF(MONTH(A16)&lt;=5,2,IF(MONTH(A16)&lt;=8,3,4))))</f>
        <v/>
      </c>
      <c r="J16">
        <f>IF(A16="","",MONTH(A16))</f>
        <v/>
      </c>
    </row>
    <row r="17">
      <c r="A17" s="15" t="n"/>
      <c r="B17" s="16" t="n"/>
      <c r="C17" s="16" t="n"/>
      <c r="D17" s="16" t="n"/>
      <c r="E17" s="18" t="n"/>
      <c r="F17" s="19" t="n"/>
      <c r="G17" s="6">
        <f>IF(OR(A17="",E17=""),"",E17*IF(F17="",1,F17))</f>
        <v/>
      </c>
      <c r="H17">
        <f>IF(A17="","",YEAR(A17))</f>
        <v/>
      </c>
      <c r="I17">
        <f>IF(A17="","",IF(MONTH(A17)&lt;=3,1,IF(MONTH(A17)&lt;=5,2,IF(MONTH(A17)&lt;=8,3,4))))</f>
        <v/>
      </c>
      <c r="J17">
        <f>IF(A17="","",MONTH(A17))</f>
        <v/>
      </c>
    </row>
    <row r="18">
      <c r="A18" s="15" t="n"/>
      <c r="B18" s="16" t="n"/>
      <c r="C18" s="16" t="n"/>
      <c r="D18" s="16" t="n"/>
      <c r="E18" s="18" t="n"/>
      <c r="F18" s="19" t="n"/>
      <c r="G18" s="6">
        <f>IF(OR(A18="",E18=""),"",E18*IF(F18="",1,F18))</f>
        <v/>
      </c>
      <c r="H18">
        <f>IF(A18="","",YEAR(A18))</f>
        <v/>
      </c>
      <c r="I18">
        <f>IF(A18="","",IF(MONTH(A18)&lt;=3,1,IF(MONTH(A18)&lt;=5,2,IF(MONTH(A18)&lt;=8,3,4))))</f>
        <v/>
      </c>
      <c r="J18">
        <f>IF(A18="","",MONTH(A18))</f>
        <v/>
      </c>
    </row>
    <row r="19">
      <c r="A19" s="15" t="n"/>
      <c r="B19" s="16" t="n"/>
      <c r="C19" s="16" t="n"/>
      <c r="D19" s="16" t="n"/>
      <c r="E19" s="18" t="n"/>
      <c r="F19" s="19" t="n"/>
      <c r="G19" s="6">
        <f>IF(OR(A19="",E19=""),"",E19*IF(F19="",1,F19))</f>
        <v/>
      </c>
      <c r="H19">
        <f>IF(A19="","",YEAR(A19))</f>
        <v/>
      </c>
      <c r="I19">
        <f>IF(A19="","",IF(MONTH(A19)&lt;=3,1,IF(MONTH(A19)&lt;=5,2,IF(MONTH(A19)&lt;=8,3,4))))</f>
        <v/>
      </c>
      <c r="J19">
        <f>IF(A19="","",MONTH(A19))</f>
        <v/>
      </c>
    </row>
    <row r="20">
      <c r="A20" s="15" t="n"/>
      <c r="B20" s="16" t="n"/>
      <c r="C20" s="16" t="n"/>
      <c r="D20" s="16" t="n"/>
      <c r="E20" s="18" t="n"/>
      <c r="F20" s="19" t="n"/>
      <c r="G20" s="6">
        <f>IF(OR(A20="",E20=""),"",E20*IF(F20="",1,F20))</f>
        <v/>
      </c>
      <c r="H20">
        <f>IF(A20="","",YEAR(A20))</f>
        <v/>
      </c>
      <c r="I20">
        <f>IF(A20="","",IF(MONTH(A20)&lt;=3,1,IF(MONTH(A20)&lt;=5,2,IF(MONTH(A20)&lt;=8,3,4))))</f>
        <v/>
      </c>
      <c r="J20">
        <f>IF(A20="","",MONTH(A20))</f>
        <v/>
      </c>
    </row>
    <row r="21">
      <c r="A21" s="15" t="n"/>
      <c r="B21" s="16" t="n"/>
      <c r="C21" s="16" t="n"/>
      <c r="D21" s="16" t="n"/>
      <c r="E21" s="18" t="n"/>
      <c r="F21" s="19" t="n"/>
      <c r="G21" s="6">
        <f>IF(OR(A21="",E21=""),"",E21*IF(F21="",1,F21))</f>
        <v/>
      </c>
      <c r="H21">
        <f>IF(A21="","",YEAR(A21))</f>
        <v/>
      </c>
      <c r="I21">
        <f>IF(A21="","",IF(MONTH(A21)&lt;=3,1,IF(MONTH(A21)&lt;=5,2,IF(MONTH(A21)&lt;=8,3,4))))</f>
        <v/>
      </c>
      <c r="J21">
        <f>IF(A21="","",MONTH(A21))</f>
        <v/>
      </c>
    </row>
    <row r="22">
      <c r="A22" s="15" t="n"/>
      <c r="B22" s="16" t="n"/>
      <c r="C22" s="16" t="n"/>
      <c r="D22" s="16" t="n"/>
      <c r="E22" s="18" t="n"/>
      <c r="F22" s="19" t="n"/>
      <c r="G22" s="6">
        <f>IF(OR(A22="",E22=""),"",E22*IF(F22="",1,F22))</f>
        <v/>
      </c>
      <c r="H22">
        <f>IF(A22="","",YEAR(A22))</f>
        <v/>
      </c>
      <c r="I22">
        <f>IF(A22="","",IF(MONTH(A22)&lt;=3,1,IF(MONTH(A22)&lt;=5,2,IF(MONTH(A22)&lt;=8,3,4))))</f>
        <v/>
      </c>
      <c r="J22">
        <f>IF(A22="","",MONTH(A22))</f>
        <v/>
      </c>
    </row>
    <row r="23">
      <c r="A23" s="15" t="n"/>
      <c r="B23" s="16" t="n"/>
      <c r="C23" s="16" t="n"/>
      <c r="D23" s="16" t="n"/>
      <c r="E23" s="18" t="n"/>
      <c r="F23" s="19" t="n"/>
      <c r="G23" s="6">
        <f>IF(OR(A23="",E23=""),"",E23*IF(F23="",1,F23))</f>
        <v/>
      </c>
      <c r="H23">
        <f>IF(A23="","",YEAR(A23))</f>
        <v/>
      </c>
      <c r="I23">
        <f>IF(A23="","",IF(MONTH(A23)&lt;=3,1,IF(MONTH(A23)&lt;=5,2,IF(MONTH(A23)&lt;=8,3,4))))</f>
        <v/>
      </c>
      <c r="J23">
        <f>IF(A23="","",MONTH(A23))</f>
        <v/>
      </c>
    </row>
    <row r="24">
      <c r="A24" s="15" t="n"/>
      <c r="B24" s="16" t="n"/>
      <c r="C24" s="16" t="n"/>
      <c r="D24" s="16" t="n"/>
      <c r="E24" s="18" t="n"/>
      <c r="F24" s="19" t="n"/>
      <c r="G24" s="6">
        <f>IF(OR(A24="",E24=""),"",E24*IF(F24="",1,F24))</f>
        <v/>
      </c>
      <c r="H24">
        <f>IF(A24="","",YEAR(A24))</f>
        <v/>
      </c>
      <c r="I24">
        <f>IF(A24="","",IF(MONTH(A24)&lt;=3,1,IF(MONTH(A24)&lt;=5,2,IF(MONTH(A24)&lt;=8,3,4))))</f>
        <v/>
      </c>
      <c r="J24">
        <f>IF(A24="","",MONTH(A24))</f>
        <v/>
      </c>
    </row>
    <row r="25">
      <c r="A25" s="15" t="n"/>
      <c r="B25" s="16" t="n"/>
      <c r="C25" s="16" t="n"/>
      <c r="D25" s="16" t="n"/>
      <c r="E25" s="18" t="n"/>
      <c r="F25" s="19" t="n"/>
      <c r="G25" s="6">
        <f>IF(OR(A25="",E25=""),"",E25*IF(F25="",1,F25))</f>
        <v/>
      </c>
      <c r="H25">
        <f>IF(A25="","",YEAR(A25))</f>
        <v/>
      </c>
      <c r="I25">
        <f>IF(A25="","",IF(MONTH(A25)&lt;=3,1,IF(MONTH(A25)&lt;=5,2,IF(MONTH(A25)&lt;=8,3,4))))</f>
        <v/>
      </c>
      <c r="J25">
        <f>IF(A25="","",MONTH(A25))</f>
        <v/>
      </c>
    </row>
    <row r="26">
      <c r="A26" s="15" t="n"/>
      <c r="B26" s="16" t="n"/>
      <c r="C26" s="16" t="n"/>
      <c r="D26" s="16" t="n"/>
      <c r="E26" s="18" t="n"/>
      <c r="F26" s="19" t="n"/>
      <c r="G26" s="6">
        <f>IF(OR(A26="",E26=""),"",E26*IF(F26="",1,F26))</f>
        <v/>
      </c>
      <c r="H26">
        <f>IF(A26="","",YEAR(A26))</f>
        <v/>
      </c>
      <c r="I26">
        <f>IF(A26="","",IF(MONTH(A26)&lt;=3,1,IF(MONTH(A26)&lt;=5,2,IF(MONTH(A26)&lt;=8,3,4))))</f>
        <v/>
      </c>
      <c r="J26">
        <f>IF(A26="","",MONTH(A26))</f>
        <v/>
      </c>
    </row>
    <row r="27">
      <c r="A27" s="15" t="n"/>
      <c r="B27" s="16" t="n"/>
      <c r="C27" s="16" t="n"/>
      <c r="D27" s="16" t="n"/>
      <c r="E27" s="18" t="n"/>
      <c r="F27" s="19" t="n"/>
      <c r="G27" s="6">
        <f>IF(OR(A27="",E27=""),"",E27*IF(F27="",1,F27))</f>
        <v/>
      </c>
      <c r="H27">
        <f>IF(A27="","",YEAR(A27))</f>
        <v/>
      </c>
      <c r="I27">
        <f>IF(A27="","",IF(MONTH(A27)&lt;=3,1,IF(MONTH(A27)&lt;=5,2,IF(MONTH(A27)&lt;=8,3,4))))</f>
        <v/>
      </c>
      <c r="J27">
        <f>IF(A27="","",MONTH(A27))</f>
        <v/>
      </c>
    </row>
    <row r="28">
      <c r="A28" s="15" t="n"/>
      <c r="B28" s="16" t="n"/>
      <c r="C28" s="16" t="n"/>
      <c r="D28" s="16" t="n"/>
      <c r="E28" s="18" t="n"/>
      <c r="F28" s="19" t="n"/>
      <c r="G28" s="6">
        <f>IF(OR(A28="",E28=""),"",E28*IF(F28="",1,F28))</f>
        <v/>
      </c>
      <c r="H28">
        <f>IF(A28="","",YEAR(A28))</f>
        <v/>
      </c>
      <c r="I28">
        <f>IF(A28="","",IF(MONTH(A28)&lt;=3,1,IF(MONTH(A28)&lt;=5,2,IF(MONTH(A28)&lt;=8,3,4))))</f>
        <v/>
      </c>
      <c r="J28">
        <f>IF(A28="","",MONTH(A28))</f>
        <v/>
      </c>
    </row>
    <row r="29">
      <c r="A29" s="15" t="n"/>
      <c r="B29" s="16" t="n"/>
      <c r="C29" s="16" t="n"/>
      <c r="D29" s="16" t="n"/>
      <c r="E29" s="18" t="n"/>
      <c r="F29" s="19" t="n"/>
      <c r="G29" s="6">
        <f>IF(OR(A29="",E29=""),"",E29*IF(F29="",1,F29))</f>
        <v/>
      </c>
      <c r="H29">
        <f>IF(A29="","",YEAR(A29))</f>
        <v/>
      </c>
      <c r="I29">
        <f>IF(A29="","",IF(MONTH(A29)&lt;=3,1,IF(MONTH(A29)&lt;=5,2,IF(MONTH(A29)&lt;=8,3,4))))</f>
        <v/>
      </c>
      <c r="J29">
        <f>IF(A29="","",MONTH(A29))</f>
        <v/>
      </c>
    </row>
    <row r="30">
      <c r="A30" s="15" t="n"/>
      <c r="B30" s="16" t="n"/>
      <c r="C30" s="16" t="n"/>
      <c r="D30" s="16" t="n"/>
      <c r="E30" s="18" t="n"/>
      <c r="F30" s="19" t="n"/>
      <c r="G30" s="6">
        <f>IF(OR(A30="",E30=""),"",E30*IF(F30="",1,F30))</f>
        <v/>
      </c>
      <c r="H30">
        <f>IF(A30="","",YEAR(A30))</f>
        <v/>
      </c>
      <c r="I30">
        <f>IF(A30="","",IF(MONTH(A30)&lt;=3,1,IF(MONTH(A30)&lt;=5,2,IF(MONTH(A30)&lt;=8,3,4))))</f>
        <v/>
      </c>
      <c r="J30">
        <f>IF(A30="","",MONTH(A30))</f>
        <v/>
      </c>
    </row>
    <row r="31">
      <c r="A31" s="15" t="n"/>
      <c r="B31" s="16" t="n"/>
      <c r="C31" s="16" t="n"/>
      <c r="D31" s="16" t="n"/>
      <c r="E31" s="18" t="n"/>
      <c r="F31" s="19" t="n"/>
      <c r="G31" s="6">
        <f>IF(OR(A31="",E31=""),"",E31*IF(F31="",1,F31))</f>
        <v/>
      </c>
      <c r="H31">
        <f>IF(A31="","",YEAR(A31))</f>
        <v/>
      </c>
      <c r="I31">
        <f>IF(A31="","",IF(MONTH(A31)&lt;=3,1,IF(MONTH(A31)&lt;=5,2,IF(MONTH(A31)&lt;=8,3,4))))</f>
        <v/>
      </c>
      <c r="J31">
        <f>IF(A31="","",MONTH(A31))</f>
        <v/>
      </c>
    </row>
    <row r="32">
      <c r="A32" s="15" t="n"/>
      <c r="B32" s="16" t="n"/>
      <c r="C32" s="16" t="n"/>
      <c r="D32" s="16" t="n"/>
      <c r="E32" s="18" t="n"/>
      <c r="F32" s="19" t="n"/>
      <c r="G32" s="6">
        <f>IF(OR(A32="",E32=""),"",E32*IF(F32="",1,F32))</f>
        <v/>
      </c>
      <c r="H32">
        <f>IF(A32="","",YEAR(A32))</f>
        <v/>
      </c>
      <c r="I32">
        <f>IF(A32="","",IF(MONTH(A32)&lt;=3,1,IF(MONTH(A32)&lt;=5,2,IF(MONTH(A32)&lt;=8,3,4))))</f>
        <v/>
      </c>
      <c r="J32">
        <f>IF(A32="","",MONTH(A32))</f>
        <v/>
      </c>
    </row>
    <row r="33">
      <c r="A33" s="15" t="n"/>
      <c r="B33" s="16" t="n"/>
      <c r="C33" s="16" t="n"/>
      <c r="D33" s="16" t="n"/>
      <c r="E33" s="18" t="n"/>
      <c r="F33" s="19" t="n"/>
      <c r="G33" s="6">
        <f>IF(OR(A33="",E33=""),"",E33*IF(F33="",1,F33))</f>
        <v/>
      </c>
      <c r="H33">
        <f>IF(A33="","",YEAR(A33))</f>
        <v/>
      </c>
      <c r="I33">
        <f>IF(A33="","",IF(MONTH(A33)&lt;=3,1,IF(MONTH(A33)&lt;=5,2,IF(MONTH(A33)&lt;=8,3,4))))</f>
        <v/>
      </c>
      <c r="J33">
        <f>IF(A33="","",MONTH(A33))</f>
        <v/>
      </c>
    </row>
    <row r="34">
      <c r="A34" s="15" t="n"/>
      <c r="B34" s="16" t="n"/>
      <c r="C34" s="16" t="n"/>
      <c r="D34" s="16" t="n"/>
      <c r="E34" s="18" t="n"/>
      <c r="F34" s="19" t="n"/>
      <c r="G34" s="6">
        <f>IF(OR(A34="",E34=""),"",E34*IF(F34="",1,F34))</f>
        <v/>
      </c>
      <c r="H34">
        <f>IF(A34="","",YEAR(A34))</f>
        <v/>
      </c>
      <c r="I34">
        <f>IF(A34="","",IF(MONTH(A34)&lt;=3,1,IF(MONTH(A34)&lt;=5,2,IF(MONTH(A34)&lt;=8,3,4))))</f>
        <v/>
      </c>
      <c r="J34">
        <f>IF(A34="","",MONTH(A34))</f>
        <v/>
      </c>
    </row>
    <row r="35">
      <c r="A35" s="15" t="n"/>
      <c r="B35" s="16" t="n"/>
      <c r="C35" s="16" t="n"/>
      <c r="D35" s="16" t="n"/>
      <c r="E35" s="18" t="n"/>
      <c r="F35" s="19" t="n"/>
      <c r="G35" s="6">
        <f>IF(OR(A35="",E35=""),"",E35*IF(F35="",1,F35))</f>
        <v/>
      </c>
      <c r="H35">
        <f>IF(A35="","",YEAR(A35))</f>
        <v/>
      </c>
      <c r="I35">
        <f>IF(A35="","",IF(MONTH(A35)&lt;=3,1,IF(MONTH(A35)&lt;=5,2,IF(MONTH(A35)&lt;=8,3,4))))</f>
        <v/>
      </c>
      <c r="J35">
        <f>IF(A35="","",MONTH(A35))</f>
        <v/>
      </c>
    </row>
    <row r="36">
      <c r="A36" s="15" t="n"/>
      <c r="B36" s="16" t="n"/>
      <c r="C36" s="16" t="n"/>
      <c r="D36" s="16" t="n"/>
      <c r="E36" s="18" t="n"/>
      <c r="F36" s="19" t="n"/>
      <c r="G36" s="6">
        <f>IF(OR(A36="",E36=""),"",E36*IF(F36="",1,F36))</f>
        <v/>
      </c>
      <c r="H36">
        <f>IF(A36="","",YEAR(A36))</f>
        <v/>
      </c>
      <c r="I36">
        <f>IF(A36="","",IF(MONTH(A36)&lt;=3,1,IF(MONTH(A36)&lt;=5,2,IF(MONTH(A36)&lt;=8,3,4))))</f>
        <v/>
      </c>
      <c r="J36">
        <f>IF(A36="","",MONTH(A36))</f>
        <v/>
      </c>
    </row>
    <row r="37">
      <c r="A37" s="15" t="n"/>
      <c r="B37" s="16" t="n"/>
      <c r="C37" s="16" t="n"/>
      <c r="D37" s="16" t="n"/>
      <c r="E37" s="18" t="n"/>
      <c r="F37" s="19" t="n"/>
      <c r="G37" s="6">
        <f>IF(OR(A37="",E37=""),"",E37*IF(F37="",1,F37))</f>
        <v/>
      </c>
      <c r="H37">
        <f>IF(A37="","",YEAR(A37))</f>
        <v/>
      </c>
      <c r="I37">
        <f>IF(A37="","",IF(MONTH(A37)&lt;=3,1,IF(MONTH(A37)&lt;=5,2,IF(MONTH(A37)&lt;=8,3,4))))</f>
        <v/>
      </c>
      <c r="J37">
        <f>IF(A37="","",MONTH(A37))</f>
        <v/>
      </c>
    </row>
    <row r="38">
      <c r="A38" s="15" t="n"/>
      <c r="B38" s="16" t="n"/>
      <c r="C38" s="16" t="n"/>
      <c r="D38" s="16" t="n"/>
      <c r="E38" s="18" t="n"/>
      <c r="F38" s="19" t="n"/>
      <c r="G38" s="6">
        <f>IF(OR(A38="",E38=""),"",E38*IF(F38="",1,F38))</f>
        <v/>
      </c>
      <c r="H38">
        <f>IF(A38="","",YEAR(A38))</f>
        <v/>
      </c>
      <c r="I38">
        <f>IF(A38="","",IF(MONTH(A38)&lt;=3,1,IF(MONTH(A38)&lt;=5,2,IF(MONTH(A38)&lt;=8,3,4))))</f>
        <v/>
      </c>
      <c r="J38">
        <f>IF(A38="","",MONTH(A38))</f>
        <v/>
      </c>
    </row>
    <row r="39">
      <c r="A39" s="15" t="n"/>
      <c r="B39" s="16" t="n"/>
      <c r="C39" s="16" t="n"/>
      <c r="D39" s="16" t="n"/>
      <c r="E39" s="18" t="n"/>
      <c r="F39" s="19" t="n"/>
      <c r="G39" s="6">
        <f>IF(OR(A39="",E39=""),"",E39*IF(F39="",1,F39))</f>
        <v/>
      </c>
      <c r="H39">
        <f>IF(A39="","",YEAR(A39))</f>
        <v/>
      </c>
      <c r="I39">
        <f>IF(A39="","",IF(MONTH(A39)&lt;=3,1,IF(MONTH(A39)&lt;=5,2,IF(MONTH(A39)&lt;=8,3,4))))</f>
        <v/>
      </c>
      <c r="J39">
        <f>IF(A39="","",MONTH(A39))</f>
        <v/>
      </c>
    </row>
    <row r="40">
      <c r="A40" s="15" t="n"/>
      <c r="B40" s="16" t="n"/>
      <c r="C40" s="16" t="n"/>
      <c r="D40" s="16" t="n"/>
      <c r="E40" s="18" t="n"/>
      <c r="F40" s="19" t="n"/>
      <c r="G40" s="6">
        <f>IF(OR(A40="",E40=""),"",E40*IF(F40="",1,F40))</f>
        <v/>
      </c>
      <c r="H40">
        <f>IF(A40="","",YEAR(A40))</f>
        <v/>
      </c>
      <c r="I40">
        <f>IF(A40="","",IF(MONTH(A40)&lt;=3,1,IF(MONTH(A40)&lt;=5,2,IF(MONTH(A40)&lt;=8,3,4))))</f>
        <v/>
      </c>
      <c r="J40">
        <f>IF(A40="","",MONTH(A40))</f>
        <v/>
      </c>
    </row>
    <row r="41">
      <c r="A41" s="15" t="n"/>
      <c r="B41" s="16" t="n"/>
      <c r="C41" s="16" t="n"/>
      <c r="D41" s="16" t="n"/>
      <c r="E41" s="18" t="n"/>
      <c r="F41" s="19" t="n"/>
      <c r="G41" s="6">
        <f>IF(OR(A41="",E41=""),"",E41*IF(F41="",1,F41))</f>
        <v/>
      </c>
      <c r="H41">
        <f>IF(A41="","",YEAR(A41))</f>
        <v/>
      </c>
      <c r="I41">
        <f>IF(A41="","",IF(MONTH(A41)&lt;=3,1,IF(MONTH(A41)&lt;=5,2,IF(MONTH(A41)&lt;=8,3,4))))</f>
        <v/>
      </c>
      <c r="J41">
        <f>IF(A41="","",MONTH(A41))</f>
        <v/>
      </c>
    </row>
    <row r="42">
      <c r="A42" s="15" t="n"/>
      <c r="B42" s="16" t="n"/>
      <c r="C42" s="16" t="n"/>
      <c r="D42" s="16" t="n"/>
      <c r="E42" s="18" t="n"/>
      <c r="F42" s="19" t="n"/>
      <c r="G42" s="6">
        <f>IF(OR(A42="",E42=""),"",E42*IF(F42="",1,F42))</f>
        <v/>
      </c>
      <c r="H42">
        <f>IF(A42="","",YEAR(A42))</f>
        <v/>
      </c>
      <c r="I42">
        <f>IF(A42="","",IF(MONTH(A42)&lt;=3,1,IF(MONTH(A42)&lt;=5,2,IF(MONTH(A42)&lt;=8,3,4))))</f>
        <v/>
      </c>
      <c r="J42">
        <f>IF(A42="","",MONTH(A42))</f>
        <v/>
      </c>
    </row>
    <row r="43">
      <c r="A43" s="15" t="n"/>
      <c r="B43" s="16" t="n"/>
      <c r="C43" s="16" t="n"/>
      <c r="D43" s="16" t="n"/>
      <c r="E43" s="18" t="n"/>
      <c r="F43" s="19" t="n"/>
      <c r="G43" s="6">
        <f>IF(OR(A43="",E43=""),"",E43*IF(F43="",1,F43))</f>
        <v/>
      </c>
      <c r="H43">
        <f>IF(A43="","",YEAR(A43))</f>
        <v/>
      </c>
      <c r="I43">
        <f>IF(A43="","",IF(MONTH(A43)&lt;=3,1,IF(MONTH(A43)&lt;=5,2,IF(MONTH(A43)&lt;=8,3,4))))</f>
        <v/>
      </c>
      <c r="J43">
        <f>IF(A43="","",MONTH(A43))</f>
        <v/>
      </c>
    </row>
    <row r="44">
      <c r="A44" s="15" t="n"/>
      <c r="B44" s="16" t="n"/>
      <c r="C44" s="16" t="n"/>
      <c r="D44" s="16" t="n"/>
      <c r="E44" s="18" t="n"/>
      <c r="F44" s="19" t="n"/>
      <c r="G44" s="6">
        <f>IF(OR(A44="",E44=""),"",E44*IF(F44="",1,F44))</f>
        <v/>
      </c>
      <c r="H44">
        <f>IF(A44="","",YEAR(A44))</f>
        <v/>
      </c>
      <c r="I44">
        <f>IF(A44="","",IF(MONTH(A44)&lt;=3,1,IF(MONTH(A44)&lt;=5,2,IF(MONTH(A44)&lt;=8,3,4))))</f>
        <v/>
      </c>
      <c r="J44">
        <f>IF(A44="","",MONTH(A44))</f>
        <v/>
      </c>
    </row>
    <row r="45">
      <c r="A45" s="15" t="n"/>
      <c r="B45" s="16" t="n"/>
      <c r="C45" s="16" t="n"/>
      <c r="D45" s="16" t="n"/>
      <c r="E45" s="18" t="n"/>
      <c r="F45" s="19" t="n"/>
      <c r="G45" s="6">
        <f>IF(OR(A45="",E45=""),"",E45*IF(F45="",1,F45))</f>
        <v/>
      </c>
      <c r="H45">
        <f>IF(A45="","",YEAR(A45))</f>
        <v/>
      </c>
      <c r="I45">
        <f>IF(A45="","",IF(MONTH(A45)&lt;=3,1,IF(MONTH(A45)&lt;=5,2,IF(MONTH(A45)&lt;=8,3,4))))</f>
        <v/>
      </c>
      <c r="J45">
        <f>IF(A45="","",MONTH(A45))</f>
        <v/>
      </c>
    </row>
    <row r="46">
      <c r="A46" s="15" t="n"/>
      <c r="B46" s="16" t="n"/>
      <c r="C46" s="16" t="n"/>
      <c r="D46" s="16" t="n"/>
      <c r="E46" s="18" t="n"/>
      <c r="F46" s="19" t="n"/>
      <c r="G46" s="6">
        <f>IF(OR(A46="",E46=""),"",E46*IF(F46="",1,F46))</f>
        <v/>
      </c>
      <c r="H46">
        <f>IF(A46="","",YEAR(A46))</f>
        <v/>
      </c>
      <c r="I46">
        <f>IF(A46="","",IF(MONTH(A46)&lt;=3,1,IF(MONTH(A46)&lt;=5,2,IF(MONTH(A46)&lt;=8,3,4))))</f>
        <v/>
      </c>
      <c r="J46">
        <f>IF(A46="","",MONTH(A46))</f>
        <v/>
      </c>
    </row>
    <row r="47">
      <c r="A47" s="15" t="n"/>
      <c r="B47" s="16" t="n"/>
      <c r="C47" s="16" t="n"/>
      <c r="D47" s="16" t="n"/>
      <c r="E47" s="18" t="n"/>
      <c r="F47" s="19" t="n"/>
      <c r="G47" s="6">
        <f>IF(OR(A47="",E47=""),"",E47*IF(F47="",1,F47))</f>
        <v/>
      </c>
      <c r="H47">
        <f>IF(A47="","",YEAR(A47))</f>
        <v/>
      </c>
      <c r="I47">
        <f>IF(A47="","",IF(MONTH(A47)&lt;=3,1,IF(MONTH(A47)&lt;=5,2,IF(MONTH(A47)&lt;=8,3,4))))</f>
        <v/>
      </c>
      <c r="J47">
        <f>IF(A47="","",MONTH(A47))</f>
        <v/>
      </c>
    </row>
    <row r="48">
      <c r="A48" s="15" t="n"/>
      <c r="B48" s="16" t="n"/>
      <c r="C48" s="16" t="n"/>
      <c r="D48" s="16" t="n"/>
      <c r="E48" s="18" t="n"/>
      <c r="F48" s="19" t="n"/>
      <c r="G48" s="6">
        <f>IF(OR(A48="",E48=""),"",E48*IF(F48="",1,F48))</f>
        <v/>
      </c>
      <c r="H48">
        <f>IF(A48="","",YEAR(A48))</f>
        <v/>
      </c>
      <c r="I48">
        <f>IF(A48="","",IF(MONTH(A48)&lt;=3,1,IF(MONTH(A48)&lt;=5,2,IF(MONTH(A48)&lt;=8,3,4))))</f>
        <v/>
      </c>
      <c r="J48">
        <f>IF(A48="","",MONTH(A48))</f>
        <v/>
      </c>
    </row>
    <row r="49">
      <c r="A49" s="15" t="n"/>
      <c r="B49" s="16" t="n"/>
      <c r="C49" s="16" t="n"/>
      <c r="D49" s="16" t="n"/>
      <c r="E49" s="18" t="n"/>
      <c r="F49" s="19" t="n"/>
      <c r="G49" s="6">
        <f>IF(OR(A49="",E49=""),"",E49*IF(F49="",1,F49))</f>
        <v/>
      </c>
      <c r="H49">
        <f>IF(A49="","",YEAR(A49))</f>
        <v/>
      </c>
      <c r="I49">
        <f>IF(A49="","",IF(MONTH(A49)&lt;=3,1,IF(MONTH(A49)&lt;=5,2,IF(MONTH(A49)&lt;=8,3,4))))</f>
        <v/>
      </c>
      <c r="J49">
        <f>IF(A49="","",MONTH(A49))</f>
        <v/>
      </c>
    </row>
    <row r="50">
      <c r="A50" s="15" t="n"/>
      <c r="B50" s="16" t="n"/>
      <c r="C50" s="16" t="n"/>
      <c r="D50" s="16" t="n"/>
      <c r="E50" s="18" t="n"/>
      <c r="F50" s="19" t="n"/>
      <c r="G50" s="6">
        <f>IF(OR(A50="",E50=""),"",E50*IF(F50="",1,F50))</f>
        <v/>
      </c>
      <c r="H50">
        <f>IF(A50="","",YEAR(A50))</f>
        <v/>
      </c>
      <c r="I50">
        <f>IF(A50="","",IF(MONTH(A50)&lt;=3,1,IF(MONTH(A50)&lt;=5,2,IF(MONTH(A50)&lt;=8,3,4))))</f>
        <v/>
      </c>
      <c r="J50">
        <f>IF(A50="","",MONTH(A50))</f>
        <v/>
      </c>
    </row>
    <row r="51">
      <c r="A51" s="15" t="n"/>
      <c r="B51" s="16" t="n"/>
      <c r="C51" s="16" t="n"/>
      <c r="D51" s="16" t="n"/>
      <c r="E51" s="18" t="n"/>
      <c r="F51" s="19" t="n"/>
      <c r="G51" s="6">
        <f>IF(OR(A51="",E51=""),"",E51*IF(F51="",1,F51))</f>
        <v/>
      </c>
      <c r="H51">
        <f>IF(A51="","",YEAR(A51))</f>
        <v/>
      </c>
      <c r="I51">
        <f>IF(A51="","",IF(MONTH(A51)&lt;=3,1,IF(MONTH(A51)&lt;=5,2,IF(MONTH(A51)&lt;=8,3,4))))</f>
        <v/>
      </c>
      <c r="J51">
        <f>IF(A51="","",MONTH(A51))</f>
        <v/>
      </c>
    </row>
    <row r="52">
      <c r="A52" s="15" t="n"/>
      <c r="B52" s="16" t="n"/>
      <c r="C52" s="16" t="n"/>
      <c r="D52" s="16" t="n"/>
      <c r="E52" s="18" t="n"/>
      <c r="F52" s="19" t="n"/>
      <c r="G52" s="6">
        <f>IF(OR(A52="",E52=""),"",E52*IF(F52="",1,F52))</f>
        <v/>
      </c>
      <c r="H52">
        <f>IF(A52="","",YEAR(A52))</f>
        <v/>
      </c>
      <c r="I52">
        <f>IF(A52="","",IF(MONTH(A52)&lt;=3,1,IF(MONTH(A52)&lt;=5,2,IF(MONTH(A52)&lt;=8,3,4))))</f>
        <v/>
      </c>
      <c r="J52">
        <f>IF(A52="","",MONTH(A52))</f>
        <v/>
      </c>
    </row>
    <row r="53">
      <c r="A53" s="15" t="n"/>
      <c r="B53" s="16" t="n"/>
      <c r="C53" s="16" t="n"/>
      <c r="D53" s="16" t="n"/>
      <c r="E53" s="18" t="n"/>
      <c r="F53" s="19" t="n"/>
      <c r="G53" s="6">
        <f>IF(OR(A53="",E53=""),"",E53*IF(F53="",1,F53))</f>
        <v/>
      </c>
      <c r="H53">
        <f>IF(A53="","",YEAR(A53))</f>
        <v/>
      </c>
      <c r="I53">
        <f>IF(A53="","",IF(MONTH(A53)&lt;=3,1,IF(MONTH(A53)&lt;=5,2,IF(MONTH(A53)&lt;=8,3,4))))</f>
        <v/>
      </c>
      <c r="J53">
        <f>IF(A53="","",MONTH(A53))</f>
        <v/>
      </c>
    </row>
    <row r="54">
      <c r="A54" s="15" t="n"/>
      <c r="B54" s="16" t="n"/>
      <c r="C54" s="16" t="n"/>
      <c r="D54" s="16" t="n"/>
      <c r="E54" s="18" t="n"/>
      <c r="F54" s="19" t="n"/>
      <c r="G54" s="6">
        <f>IF(OR(A54="",E54=""),"",E54*IF(F54="",1,F54))</f>
        <v/>
      </c>
      <c r="H54">
        <f>IF(A54="","",YEAR(A54))</f>
        <v/>
      </c>
      <c r="I54">
        <f>IF(A54="","",IF(MONTH(A54)&lt;=3,1,IF(MONTH(A54)&lt;=5,2,IF(MONTH(A54)&lt;=8,3,4))))</f>
        <v/>
      </c>
      <c r="J54">
        <f>IF(A54="","",MONTH(A54))</f>
        <v/>
      </c>
    </row>
    <row r="55">
      <c r="A55" s="15" t="n"/>
      <c r="B55" s="16" t="n"/>
      <c r="C55" s="16" t="n"/>
      <c r="D55" s="16" t="n"/>
      <c r="E55" s="18" t="n"/>
      <c r="F55" s="19" t="n"/>
      <c r="G55" s="6">
        <f>IF(OR(A55="",E55=""),"",E55*IF(F55="",1,F55))</f>
        <v/>
      </c>
      <c r="H55">
        <f>IF(A55="","",YEAR(A55))</f>
        <v/>
      </c>
      <c r="I55">
        <f>IF(A55="","",IF(MONTH(A55)&lt;=3,1,IF(MONTH(A55)&lt;=5,2,IF(MONTH(A55)&lt;=8,3,4))))</f>
        <v/>
      </c>
      <c r="J55">
        <f>IF(A55="","",MONTH(A55))</f>
        <v/>
      </c>
    </row>
    <row r="56">
      <c r="A56" s="15" t="n"/>
      <c r="B56" s="16" t="n"/>
      <c r="C56" s="16" t="n"/>
      <c r="D56" s="16" t="n"/>
      <c r="E56" s="18" t="n"/>
      <c r="F56" s="19" t="n"/>
      <c r="G56" s="6">
        <f>IF(OR(A56="",E56=""),"",E56*IF(F56="",1,F56))</f>
        <v/>
      </c>
      <c r="H56">
        <f>IF(A56="","",YEAR(A56))</f>
        <v/>
      </c>
      <c r="I56">
        <f>IF(A56="","",IF(MONTH(A56)&lt;=3,1,IF(MONTH(A56)&lt;=5,2,IF(MONTH(A56)&lt;=8,3,4))))</f>
        <v/>
      </c>
      <c r="J56">
        <f>IF(A56="","",MONTH(A56))</f>
        <v/>
      </c>
    </row>
    <row r="57">
      <c r="A57" s="15" t="n"/>
      <c r="B57" s="16" t="n"/>
      <c r="C57" s="16" t="n"/>
      <c r="D57" s="16" t="n"/>
      <c r="E57" s="18" t="n"/>
      <c r="F57" s="19" t="n"/>
      <c r="G57" s="6">
        <f>IF(OR(A57="",E57=""),"",E57*IF(F57="",1,F57))</f>
        <v/>
      </c>
      <c r="H57">
        <f>IF(A57="","",YEAR(A57))</f>
        <v/>
      </c>
      <c r="I57">
        <f>IF(A57="","",IF(MONTH(A57)&lt;=3,1,IF(MONTH(A57)&lt;=5,2,IF(MONTH(A57)&lt;=8,3,4))))</f>
        <v/>
      </c>
      <c r="J57">
        <f>IF(A57="","",MONTH(A57))</f>
        <v/>
      </c>
    </row>
    <row r="58">
      <c r="A58" s="15" t="n"/>
      <c r="B58" s="16" t="n"/>
      <c r="C58" s="16" t="n"/>
      <c r="D58" s="16" t="n"/>
      <c r="E58" s="18" t="n"/>
      <c r="F58" s="19" t="n"/>
      <c r="G58" s="6">
        <f>IF(OR(A58="",E58=""),"",E58*IF(F58="",1,F58))</f>
        <v/>
      </c>
      <c r="H58">
        <f>IF(A58="","",YEAR(A58))</f>
        <v/>
      </c>
      <c r="I58">
        <f>IF(A58="","",IF(MONTH(A58)&lt;=3,1,IF(MONTH(A58)&lt;=5,2,IF(MONTH(A58)&lt;=8,3,4))))</f>
        <v/>
      </c>
      <c r="J58">
        <f>IF(A58="","",MONTH(A58))</f>
        <v/>
      </c>
    </row>
    <row r="59">
      <c r="A59" s="15" t="n"/>
      <c r="B59" s="16" t="n"/>
      <c r="C59" s="16" t="n"/>
      <c r="D59" s="16" t="n"/>
      <c r="E59" s="18" t="n"/>
      <c r="F59" s="19" t="n"/>
      <c r="G59" s="6">
        <f>IF(OR(A59="",E59=""),"",E59*IF(F59="",1,F59))</f>
        <v/>
      </c>
      <c r="H59">
        <f>IF(A59="","",YEAR(A59))</f>
        <v/>
      </c>
      <c r="I59">
        <f>IF(A59="","",IF(MONTH(A59)&lt;=3,1,IF(MONTH(A59)&lt;=5,2,IF(MONTH(A59)&lt;=8,3,4))))</f>
        <v/>
      </c>
      <c r="J59">
        <f>IF(A59="","",MONTH(A59))</f>
        <v/>
      </c>
    </row>
    <row r="60">
      <c r="A60" s="15" t="n"/>
      <c r="B60" s="16" t="n"/>
      <c r="C60" s="16" t="n"/>
      <c r="D60" s="16" t="n"/>
      <c r="E60" s="18" t="n"/>
      <c r="F60" s="19" t="n"/>
      <c r="G60" s="6">
        <f>IF(OR(A60="",E60=""),"",E60*IF(F60="",1,F60))</f>
        <v/>
      </c>
      <c r="H60">
        <f>IF(A60="","",YEAR(A60))</f>
        <v/>
      </c>
      <c r="I60">
        <f>IF(A60="","",IF(MONTH(A60)&lt;=3,1,IF(MONTH(A60)&lt;=5,2,IF(MONTH(A60)&lt;=8,3,4))))</f>
        <v/>
      </c>
      <c r="J60">
        <f>IF(A60="","",MONTH(A60))</f>
        <v/>
      </c>
    </row>
    <row r="61">
      <c r="A61" s="15" t="n"/>
      <c r="B61" s="16" t="n"/>
      <c r="C61" s="16" t="n"/>
      <c r="D61" s="16" t="n"/>
      <c r="E61" s="18" t="n"/>
      <c r="F61" s="19" t="n"/>
      <c r="G61" s="6">
        <f>IF(OR(A61="",E61=""),"",E61*IF(F61="",1,F61))</f>
        <v/>
      </c>
      <c r="H61">
        <f>IF(A61="","",YEAR(A61))</f>
        <v/>
      </c>
      <c r="I61">
        <f>IF(A61="","",IF(MONTH(A61)&lt;=3,1,IF(MONTH(A61)&lt;=5,2,IF(MONTH(A61)&lt;=8,3,4))))</f>
        <v/>
      </c>
      <c r="J61">
        <f>IF(A61="","",MONTH(A61))</f>
        <v/>
      </c>
    </row>
    <row r="62">
      <c r="A62" s="15" t="n"/>
      <c r="B62" s="16" t="n"/>
      <c r="C62" s="16" t="n"/>
      <c r="D62" s="16" t="n"/>
      <c r="E62" s="18" t="n"/>
      <c r="F62" s="19" t="n"/>
      <c r="G62" s="6">
        <f>IF(OR(A62="",E62=""),"",E62*IF(F62="",1,F62))</f>
        <v/>
      </c>
      <c r="H62">
        <f>IF(A62="","",YEAR(A62))</f>
        <v/>
      </c>
      <c r="I62">
        <f>IF(A62="","",IF(MONTH(A62)&lt;=3,1,IF(MONTH(A62)&lt;=5,2,IF(MONTH(A62)&lt;=8,3,4))))</f>
        <v/>
      </c>
      <c r="J62">
        <f>IF(A62="","",MONTH(A62))</f>
        <v/>
      </c>
    </row>
    <row r="63">
      <c r="A63" s="15" t="n"/>
      <c r="B63" s="16" t="n"/>
      <c r="C63" s="16" t="n"/>
      <c r="D63" s="16" t="n"/>
      <c r="E63" s="18" t="n"/>
      <c r="F63" s="19" t="n"/>
      <c r="G63" s="6">
        <f>IF(OR(A63="",E63=""),"",E63*IF(F63="",1,F63))</f>
        <v/>
      </c>
      <c r="H63">
        <f>IF(A63="","",YEAR(A63))</f>
        <v/>
      </c>
      <c r="I63">
        <f>IF(A63="","",IF(MONTH(A63)&lt;=3,1,IF(MONTH(A63)&lt;=5,2,IF(MONTH(A63)&lt;=8,3,4))))</f>
        <v/>
      </c>
      <c r="J63">
        <f>IF(A63="","",MONTH(A63))</f>
        <v/>
      </c>
    </row>
    <row r="64">
      <c r="A64" s="15" t="n"/>
      <c r="B64" s="16" t="n"/>
      <c r="C64" s="16" t="n"/>
      <c r="D64" s="16" t="n"/>
      <c r="E64" s="18" t="n"/>
      <c r="F64" s="19" t="n"/>
      <c r="G64" s="6">
        <f>IF(OR(A64="",E64=""),"",E64*IF(F64="",1,F64))</f>
        <v/>
      </c>
      <c r="H64">
        <f>IF(A64="","",YEAR(A64))</f>
        <v/>
      </c>
      <c r="I64">
        <f>IF(A64="","",IF(MONTH(A64)&lt;=3,1,IF(MONTH(A64)&lt;=5,2,IF(MONTH(A64)&lt;=8,3,4))))</f>
        <v/>
      </c>
      <c r="J64">
        <f>IF(A64="","",MONTH(A64))</f>
        <v/>
      </c>
    </row>
    <row r="65">
      <c r="A65" s="15" t="n"/>
      <c r="B65" s="16" t="n"/>
      <c r="C65" s="16" t="n"/>
      <c r="D65" s="16" t="n"/>
      <c r="E65" s="18" t="n"/>
      <c r="F65" s="19" t="n"/>
      <c r="G65" s="6">
        <f>IF(OR(A65="",E65=""),"",E65*IF(F65="",1,F65))</f>
        <v/>
      </c>
      <c r="H65">
        <f>IF(A65="","",YEAR(A65))</f>
        <v/>
      </c>
      <c r="I65">
        <f>IF(A65="","",IF(MONTH(A65)&lt;=3,1,IF(MONTH(A65)&lt;=5,2,IF(MONTH(A65)&lt;=8,3,4))))</f>
        <v/>
      </c>
      <c r="J65">
        <f>IF(A65="","",MONTH(A65))</f>
        <v/>
      </c>
    </row>
    <row r="66">
      <c r="A66" s="15" t="n"/>
      <c r="B66" s="16" t="n"/>
      <c r="C66" s="16" t="n"/>
      <c r="D66" s="16" t="n"/>
      <c r="E66" s="18" t="n"/>
      <c r="F66" s="19" t="n"/>
      <c r="G66" s="6">
        <f>IF(OR(A66="",E66=""),"",E66*IF(F66="",1,F66))</f>
        <v/>
      </c>
      <c r="H66">
        <f>IF(A66="","",YEAR(A66))</f>
        <v/>
      </c>
      <c r="I66">
        <f>IF(A66="","",IF(MONTH(A66)&lt;=3,1,IF(MONTH(A66)&lt;=5,2,IF(MONTH(A66)&lt;=8,3,4))))</f>
        <v/>
      </c>
      <c r="J66">
        <f>IF(A66="","",MONTH(A66))</f>
        <v/>
      </c>
    </row>
    <row r="67">
      <c r="A67" s="15" t="n"/>
      <c r="B67" s="16" t="n"/>
      <c r="C67" s="16" t="n"/>
      <c r="D67" s="16" t="n"/>
      <c r="E67" s="18" t="n"/>
      <c r="F67" s="19" t="n"/>
      <c r="G67" s="6">
        <f>IF(OR(A67="",E67=""),"",E67*IF(F67="",1,F67))</f>
        <v/>
      </c>
      <c r="H67">
        <f>IF(A67="","",YEAR(A67))</f>
        <v/>
      </c>
      <c r="I67">
        <f>IF(A67="","",IF(MONTH(A67)&lt;=3,1,IF(MONTH(A67)&lt;=5,2,IF(MONTH(A67)&lt;=8,3,4))))</f>
        <v/>
      </c>
      <c r="J67">
        <f>IF(A67="","",MONTH(A67))</f>
        <v/>
      </c>
    </row>
    <row r="68">
      <c r="A68" s="15" t="n"/>
      <c r="B68" s="16" t="n"/>
      <c r="C68" s="16" t="n"/>
      <c r="D68" s="16" t="n"/>
      <c r="E68" s="18" t="n"/>
      <c r="F68" s="19" t="n"/>
      <c r="G68" s="6">
        <f>IF(OR(A68="",E68=""),"",E68*IF(F68="",1,F68))</f>
        <v/>
      </c>
      <c r="H68">
        <f>IF(A68="","",YEAR(A68))</f>
        <v/>
      </c>
      <c r="I68">
        <f>IF(A68="","",IF(MONTH(A68)&lt;=3,1,IF(MONTH(A68)&lt;=5,2,IF(MONTH(A68)&lt;=8,3,4))))</f>
        <v/>
      </c>
      <c r="J68">
        <f>IF(A68="","",MONTH(A68))</f>
        <v/>
      </c>
    </row>
    <row r="69">
      <c r="A69" s="15" t="n"/>
      <c r="B69" s="16" t="n"/>
      <c r="C69" s="16" t="n"/>
      <c r="D69" s="16" t="n"/>
      <c r="E69" s="18" t="n"/>
      <c r="F69" s="19" t="n"/>
      <c r="G69" s="6">
        <f>IF(OR(A69="",E69=""),"",E69*IF(F69="",1,F69))</f>
        <v/>
      </c>
      <c r="H69">
        <f>IF(A69="","",YEAR(A69))</f>
        <v/>
      </c>
      <c r="I69">
        <f>IF(A69="","",IF(MONTH(A69)&lt;=3,1,IF(MONTH(A69)&lt;=5,2,IF(MONTH(A69)&lt;=8,3,4))))</f>
        <v/>
      </c>
      <c r="J69">
        <f>IF(A69="","",MONTH(A69))</f>
        <v/>
      </c>
    </row>
    <row r="70">
      <c r="A70" s="15" t="n"/>
      <c r="B70" s="16" t="n"/>
      <c r="C70" s="16" t="n"/>
      <c r="D70" s="16" t="n"/>
      <c r="E70" s="18" t="n"/>
      <c r="F70" s="19" t="n"/>
      <c r="G70" s="6">
        <f>IF(OR(A70="",E70=""),"",E70*IF(F70="",1,F70))</f>
        <v/>
      </c>
      <c r="H70">
        <f>IF(A70="","",YEAR(A70))</f>
        <v/>
      </c>
      <c r="I70">
        <f>IF(A70="","",IF(MONTH(A70)&lt;=3,1,IF(MONTH(A70)&lt;=5,2,IF(MONTH(A70)&lt;=8,3,4))))</f>
        <v/>
      </c>
      <c r="J70">
        <f>IF(A70="","",MONTH(A70))</f>
        <v/>
      </c>
    </row>
    <row r="71">
      <c r="A71" s="15" t="n"/>
      <c r="B71" s="16" t="n"/>
      <c r="C71" s="16" t="n"/>
      <c r="D71" s="16" t="n"/>
      <c r="E71" s="18" t="n"/>
      <c r="F71" s="19" t="n"/>
      <c r="G71" s="6">
        <f>IF(OR(A71="",E71=""),"",E71*IF(F71="",1,F71))</f>
        <v/>
      </c>
      <c r="H71">
        <f>IF(A71="","",YEAR(A71))</f>
        <v/>
      </c>
      <c r="I71">
        <f>IF(A71="","",IF(MONTH(A71)&lt;=3,1,IF(MONTH(A71)&lt;=5,2,IF(MONTH(A71)&lt;=8,3,4))))</f>
        <v/>
      </c>
      <c r="J71">
        <f>IF(A71="","",MONTH(A71))</f>
        <v/>
      </c>
    </row>
    <row r="72">
      <c r="A72" s="15" t="n"/>
      <c r="B72" s="16" t="n"/>
      <c r="C72" s="16" t="n"/>
      <c r="D72" s="16" t="n"/>
      <c r="E72" s="18" t="n"/>
      <c r="F72" s="19" t="n"/>
      <c r="G72" s="6">
        <f>IF(OR(A72="",E72=""),"",E72*IF(F72="",1,F72))</f>
        <v/>
      </c>
      <c r="H72">
        <f>IF(A72="","",YEAR(A72))</f>
        <v/>
      </c>
      <c r="I72">
        <f>IF(A72="","",IF(MONTH(A72)&lt;=3,1,IF(MONTH(A72)&lt;=5,2,IF(MONTH(A72)&lt;=8,3,4))))</f>
        <v/>
      </c>
      <c r="J72">
        <f>IF(A72="","",MONTH(A72))</f>
        <v/>
      </c>
    </row>
    <row r="73">
      <c r="A73" s="15" t="n"/>
      <c r="B73" s="16" t="n"/>
      <c r="C73" s="16" t="n"/>
      <c r="D73" s="16" t="n"/>
      <c r="E73" s="18" t="n"/>
      <c r="F73" s="19" t="n"/>
      <c r="G73" s="6">
        <f>IF(OR(A73="",E73=""),"",E73*IF(F73="",1,F73))</f>
        <v/>
      </c>
      <c r="H73">
        <f>IF(A73="","",YEAR(A73))</f>
        <v/>
      </c>
      <c r="I73">
        <f>IF(A73="","",IF(MONTH(A73)&lt;=3,1,IF(MONTH(A73)&lt;=5,2,IF(MONTH(A73)&lt;=8,3,4))))</f>
        <v/>
      </c>
      <c r="J73">
        <f>IF(A73="","",MONTH(A73))</f>
        <v/>
      </c>
    </row>
    <row r="74">
      <c r="A74" s="15" t="n"/>
      <c r="B74" s="16" t="n"/>
      <c r="C74" s="16" t="n"/>
      <c r="D74" s="16" t="n"/>
      <c r="E74" s="18" t="n"/>
      <c r="F74" s="19" t="n"/>
      <c r="G74" s="6">
        <f>IF(OR(A74="",E74=""),"",E74*IF(F74="",1,F74))</f>
        <v/>
      </c>
      <c r="H74">
        <f>IF(A74="","",YEAR(A74))</f>
        <v/>
      </c>
      <c r="I74">
        <f>IF(A74="","",IF(MONTH(A74)&lt;=3,1,IF(MONTH(A74)&lt;=5,2,IF(MONTH(A74)&lt;=8,3,4))))</f>
        <v/>
      </c>
      <c r="J74">
        <f>IF(A74="","",MONTH(A74))</f>
        <v/>
      </c>
    </row>
    <row r="75">
      <c r="A75" s="15" t="n"/>
      <c r="B75" s="16" t="n"/>
      <c r="C75" s="16" t="n"/>
      <c r="D75" s="16" t="n"/>
      <c r="E75" s="18" t="n"/>
      <c r="F75" s="19" t="n"/>
      <c r="G75" s="6">
        <f>IF(OR(A75="",E75=""),"",E75*IF(F75="",1,F75))</f>
        <v/>
      </c>
      <c r="H75">
        <f>IF(A75="","",YEAR(A75))</f>
        <v/>
      </c>
      <c r="I75">
        <f>IF(A75="","",IF(MONTH(A75)&lt;=3,1,IF(MONTH(A75)&lt;=5,2,IF(MONTH(A75)&lt;=8,3,4))))</f>
        <v/>
      </c>
      <c r="J75">
        <f>IF(A75="","",MONTH(A75))</f>
        <v/>
      </c>
    </row>
    <row r="76">
      <c r="A76" s="15" t="n"/>
      <c r="B76" s="16" t="n"/>
      <c r="C76" s="16" t="n"/>
      <c r="D76" s="16" t="n"/>
      <c r="E76" s="18" t="n"/>
      <c r="F76" s="19" t="n"/>
      <c r="G76" s="6">
        <f>IF(OR(A76="",E76=""),"",E76*IF(F76="",1,F76))</f>
        <v/>
      </c>
      <c r="H76">
        <f>IF(A76="","",YEAR(A76))</f>
        <v/>
      </c>
      <c r="I76">
        <f>IF(A76="","",IF(MONTH(A76)&lt;=3,1,IF(MONTH(A76)&lt;=5,2,IF(MONTH(A76)&lt;=8,3,4))))</f>
        <v/>
      </c>
      <c r="J76">
        <f>IF(A76="","",MONTH(A76))</f>
        <v/>
      </c>
    </row>
    <row r="77">
      <c r="A77" s="15" t="n"/>
      <c r="B77" s="16" t="n"/>
      <c r="C77" s="16" t="n"/>
      <c r="D77" s="16" t="n"/>
      <c r="E77" s="18" t="n"/>
      <c r="F77" s="19" t="n"/>
      <c r="G77" s="6">
        <f>IF(OR(A77="",E77=""),"",E77*IF(F77="",1,F77))</f>
        <v/>
      </c>
      <c r="H77">
        <f>IF(A77="","",YEAR(A77))</f>
        <v/>
      </c>
      <c r="I77">
        <f>IF(A77="","",IF(MONTH(A77)&lt;=3,1,IF(MONTH(A77)&lt;=5,2,IF(MONTH(A77)&lt;=8,3,4))))</f>
        <v/>
      </c>
      <c r="J77">
        <f>IF(A77="","",MONTH(A77))</f>
        <v/>
      </c>
    </row>
    <row r="78">
      <c r="A78" s="15" t="n"/>
      <c r="B78" s="16" t="n"/>
      <c r="C78" s="16" t="n"/>
      <c r="D78" s="16" t="n"/>
      <c r="E78" s="18" t="n"/>
      <c r="F78" s="19" t="n"/>
      <c r="G78" s="6">
        <f>IF(OR(A78="",E78=""),"",E78*IF(F78="",1,F78))</f>
        <v/>
      </c>
      <c r="H78">
        <f>IF(A78="","",YEAR(A78))</f>
        <v/>
      </c>
      <c r="I78">
        <f>IF(A78="","",IF(MONTH(A78)&lt;=3,1,IF(MONTH(A78)&lt;=5,2,IF(MONTH(A78)&lt;=8,3,4))))</f>
        <v/>
      </c>
      <c r="J78">
        <f>IF(A78="","",MONTH(A78))</f>
        <v/>
      </c>
    </row>
    <row r="79">
      <c r="A79" s="15" t="n"/>
      <c r="B79" s="16" t="n"/>
      <c r="C79" s="16" t="n"/>
      <c r="D79" s="16" t="n"/>
      <c r="E79" s="18" t="n"/>
      <c r="F79" s="19" t="n"/>
      <c r="G79" s="6">
        <f>IF(OR(A79="",E79=""),"",E79*IF(F79="",1,F79))</f>
        <v/>
      </c>
      <c r="H79">
        <f>IF(A79="","",YEAR(A79))</f>
        <v/>
      </c>
      <c r="I79">
        <f>IF(A79="","",IF(MONTH(A79)&lt;=3,1,IF(MONTH(A79)&lt;=5,2,IF(MONTH(A79)&lt;=8,3,4))))</f>
        <v/>
      </c>
      <c r="J79">
        <f>IF(A79="","",MONTH(A79))</f>
        <v/>
      </c>
    </row>
    <row r="80">
      <c r="A80" s="15" t="n"/>
      <c r="B80" s="16" t="n"/>
      <c r="C80" s="16" t="n"/>
      <c r="D80" s="16" t="n"/>
      <c r="E80" s="18" t="n"/>
      <c r="F80" s="19" t="n"/>
      <c r="G80" s="6">
        <f>IF(OR(A80="",E80=""),"",E80*IF(F80="",1,F80))</f>
        <v/>
      </c>
      <c r="H80">
        <f>IF(A80="","",YEAR(A80))</f>
        <v/>
      </c>
      <c r="I80">
        <f>IF(A80="","",IF(MONTH(A80)&lt;=3,1,IF(MONTH(A80)&lt;=5,2,IF(MONTH(A80)&lt;=8,3,4))))</f>
        <v/>
      </c>
      <c r="J80">
        <f>IF(A80="","",MONTH(A80))</f>
        <v/>
      </c>
    </row>
    <row r="81">
      <c r="A81" s="15" t="n"/>
      <c r="B81" s="16" t="n"/>
      <c r="C81" s="16" t="n"/>
      <c r="D81" s="16" t="n"/>
      <c r="E81" s="18" t="n"/>
      <c r="F81" s="19" t="n"/>
      <c r="G81" s="6">
        <f>IF(OR(A81="",E81=""),"",E81*IF(F81="",1,F81))</f>
        <v/>
      </c>
      <c r="H81">
        <f>IF(A81="","",YEAR(A81))</f>
        <v/>
      </c>
      <c r="I81">
        <f>IF(A81="","",IF(MONTH(A81)&lt;=3,1,IF(MONTH(A81)&lt;=5,2,IF(MONTH(A81)&lt;=8,3,4))))</f>
        <v/>
      </c>
      <c r="J81">
        <f>IF(A81="","",MONTH(A81))</f>
        <v/>
      </c>
    </row>
    <row r="82">
      <c r="A82" s="15" t="n"/>
      <c r="B82" s="16" t="n"/>
      <c r="C82" s="16" t="n"/>
      <c r="D82" s="16" t="n"/>
      <c r="E82" s="18" t="n"/>
      <c r="F82" s="19" t="n"/>
      <c r="G82" s="6">
        <f>IF(OR(A82="",E82=""),"",E82*IF(F82="",1,F82))</f>
        <v/>
      </c>
      <c r="H82">
        <f>IF(A82="","",YEAR(A82))</f>
        <v/>
      </c>
      <c r="I82">
        <f>IF(A82="","",IF(MONTH(A82)&lt;=3,1,IF(MONTH(A82)&lt;=5,2,IF(MONTH(A82)&lt;=8,3,4))))</f>
        <v/>
      </c>
      <c r="J82">
        <f>IF(A82="","",MONTH(A82))</f>
        <v/>
      </c>
    </row>
    <row r="83">
      <c r="A83" s="15" t="n"/>
      <c r="B83" s="16" t="n"/>
      <c r="C83" s="16" t="n"/>
      <c r="D83" s="16" t="n"/>
      <c r="E83" s="18" t="n"/>
      <c r="F83" s="19" t="n"/>
      <c r="G83" s="6">
        <f>IF(OR(A83="",E83=""),"",E83*IF(F83="",1,F83))</f>
        <v/>
      </c>
      <c r="H83">
        <f>IF(A83="","",YEAR(A83))</f>
        <v/>
      </c>
      <c r="I83">
        <f>IF(A83="","",IF(MONTH(A83)&lt;=3,1,IF(MONTH(A83)&lt;=5,2,IF(MONTH(A83)&lt;=8,3,4))))</f>
        <v/>
      </c>
      <c r="J83">
        <f>IF(A83="","",MONTH(A83))</f>
        <v/>
      </c>
    </row>
    <row r="84">
      <c r="A84" s="15" t="n"/>
      <c r="B84" s="16" t="n"/>
      <c r="C84" s="16" t="n"/>
      <c r="D84" s="16" t="n"/>
      <c r="E84" s="18" t="n"/>
      <c r="F84" s="19" t="n"/>
      <c r="G84" s="6">
        <f>IF(OR(A84="",E84=""),"",E84*IF(F84="",1,F84))</f>
        <v/>
      </c>
      <c r="H84">
        <f>IF(A84="","",YEAR(A84))</f>
        <v/>
      </c>
      <c r="I84">
        <f>IF(A84="","",IF(MONTH(A84)&lt;=3,1,IF(MONTH(A84)&lt;=5,2,IF(MONTH(A84)&lt;=8,3,4))))</f>
        <v/>
      </c>
      <c r="J84">
        <f>IF(A84="","",MONTH(A84))</f>
        <v/>
      </c>
    </row>
    <row r="85">
      <c r="A85" s="15" t="n"/>
      <c r="B85" s="16" t="n"/>
      <c r="C85" s="16" t="n"/>
      <c r="D85" s="16" t="n"/>
      <c r="E85" s="18" t="n"/>
      <c r="F85" s="19" t="n"/>
      <c r="G85" s="6">
        <f>IF(OR(A85="",E85=""),"",E85*IF(F85="",1,F85))</f>
        <v/>
      </c>
      <c r="H85">
        <f>IF(A85="","",YEAR(A85))</f>
        <v/>
      </c>
      <c r="I85">
        <f>IF(A85="","",IF(MONTH(A85)&lt;=3,1,IF(MONTH(A85)&lt;=5,2,IF(MONTH(A85)&lt;=8,3,4))))</f>
        <v/>
      </c>
      <c r="J85">
        <f>IF(A85="","",MONTH(A85))</f>
        <v/>
      </c>
    </row>
    <row r="86">
      <c r="A86" s="15" t="n"/>
      <c r="B86" s="16" t="n"/>
      <c r="C86" s="16" t="n"/>
      <c r="D86" s="16" t="n"/>
      <c r="E86" s="18" t="n"/>
      <c r="F86" s="19" t="n"/>
      <c r="G86" s="6">
        <f>IF(OR(A86="",E86=""),"",E86*IF(F86="",1,F86))</f>
        <v/>
      </c>
      <c r="H86">
        <f>IF(A86="","",YEAR(A86))</f>
        <v/>
      </c>
      <c r="I86">
        <f>IF(A86="","",IF(MONTH(A86)&lt;=3,1,IF(MONTH(A86)&lt;=5,2,IF(MONTH(A86)&lt;=8,3,4))))</f>
        <v/>
      </c>
      <c r="J86">
        <f>IF(A86="","",MONTH(A86))</f>
        <v/>
      </c>
    </row>
    <row r="87">
      <c r="A87" s="15" t="n"/>
      <c r="B87" s="16" t="n"/>
      <c r="C87" s="16" t="n"/>
      <c r="D87" s="16" t="n"/>
      <c r="E87" s="18" t="n"/>
      <c r="F87" s="19" t="n"/>
      <c r="G87" s="6">
        <f>IF(OR(A87="",E87=""),"",E87*IF(F87="",1,F87))</f>
        <v/>
      </c>
      <c r="H87">
        <f>IF(A87="","",YEAR(A87))</f>
        <v/>
      </c>
      <c r="I87">
        <f>IF(A87="","",IF(MONTH(A87)&lt;=3,1,IF(MONTH(A87)&lt;=5,2,IF(MONTH(A87)&lt;=8,3,4))))</f>
        <v/>
      </c>
      <c r="J87">
        <f>IF(A87="","",MONTH(A87))</f>
        <v/>
      </c>
    </row>
    <row r="88">
      <c r="A88" s="15" t="n"/>
      <c r="B88" s="16" t="n"/>
      <c r="C88" s="16" t="n"/>
      <c r="D88" s="16" t="n"/>
      <c r="E88" s="18" t="n"/>
      <c r="F88" s="19" t="n"/>
      <c r="G88" s="6">
        <f>IF(OR(A88="",E88=""),"",E88*IF(F88="",1,F88))</f>
        <v/>
      </c>
      <c r="H88">
        <f>IF(A88="","",YEAR(A88))</f>
        <v/>
      </c>
      <c r="I88">
        <f>IF(A88="","",IF(MONTH(A88)&lt;=3,1,IF(MONTH(A88)&lt;=5,2,IF(MONTH(A88)&lt;=8,3,4))))</f>
        <v/>
      </c>
      <c r="J88">
        <f>IF(A88="","",MONTH(A88))</f>
        <v/>
      </c>
    </row>
    <row r="89">
      <c r="A89" s="15" t="n"/>
      <c r="B89" s="16" t="n"/>
      <c r="C89" s="16" t="n"/>
      <c r="D89" s="16" t="n"/>
      <c r="E89" s="18" t="n"/>
      <c r="F89" s="19" t="n"/>
      <c r="G89" s="6">
        <f>IF(OR(A89="",E89=""),"",E89*IF(F89="",1,F89))</f>
        <v/>
      </c>
      <c r="H89">
        <f>IF(A89="","",YEAR(A89))</f>
        <v/>
      </c>
      <c r="I89">
        <f>IF(A89="","",IF(MONTH(A89)&lt;=3,1,IF(MONTH(A89)&lt;=5,2,IF(MONTH(A89)&lt;=8,3,4))))</f>
        <v/>
      </c>
      <c r="J89">
        <f>IF(A89="","",MONTH(A89))</f>
        <v/>
      </c>
    </row>
    <row r="90">
      <c r="A90" s="15" t="n"/>
      <c r="B90" s="16" t="n"/>
      <c r="C90" s="16" t="n"/>
      <c r="D90" s="16" t="n"/>
      <c r="E90" s="18" t="n"/>
      <c r="F90" s="19" t="n"/>
      <c r="G90" s="6">
        <f>IF(OR(A90="",E90=""),"",E90*IF(F90="",1,F90))</f>
        <v/>
      </c>
      <c r="H90">
        <f>IF(A90="","",YEAR(A90))</f>
        <v/>
      </c>
      <c r="I90">
        <f>IF(A90="","",IF(MONTH(A90)&lt;=3,1,IF(MONTH(A90)&lt;=5,2,IF(MONTH(A90)&lt;=8,3,4))))</f>
        <v/>
      </c>
      <c r="J90">
        <f>IF(A90="","",MONTH(A90))</f>
        <v/>
      </c>
    </row>
    <row r="91">
      <c r="A91" s="15" t="n"/>
      <c r="B91" s="16" t="n"/>
      <c r="C91" s="16" t="n"/>
      <c r="D91" s="16" t="n"/>
      <c r="E91" s="18" t="n"/>
      <c r="F91" s="19" t="n"/>
      <c r="G91" s="6">
        <f>IF(OR(A91="",E91=""),"",E91*IF(F91="",1,F91))</f>
        <v/>
      </c>
      <c r="H91">
        <f>IF(A91="","",YEAR(A91))</f>
        <v/>
      </c>
      <c r="I91">
        <f>IF(A91="","",IF(MONTH(A91)&lt;=3,1,IF(MONTH(A91)&lt;=5,2,IF(MONTH(A91)&lt;=8,3,4))))</f>
        <v/>
      </c>
      <c r="J91">
        <f>IF(A91="","",MONTH(A91))</f>
        <v/>
      </c>
    </row>
    <row r="92">
      <c r="A92" s="15" t="n"/>
      <c r="B92" s="16" t="n"/>
      <c r="C92" s="16" t="n"/>
      <c r="D92" s="16" t="n"/>
      <c r="E92" s="18" t="n"/>
      <c r="F92" s="19" t="n"/>
      <c r="G92" s="6">
        <f>IF(OR(A92="",E92=""),"",E92*IF(F92="",1,F92))</f>
        <v/>
      </c>
      <c r="H92">
        <f>IF(A92="","",YEAR(A92))</f>
        <v/>
      </c>
      <c r="I92">
        <f>IF(A92="","",IF(MONTH(A92)&lt;=3,1,IF(MONTH(A92)&lt;=5,2,IF(MONTH(A92)&lt;=8,3,4))))</f>
        <v/>
      </c>
      <c r="J92">
        <f>IF(A92="","",MONTH(A92))</f>
        <v/>
      </c>
    </row>
    <row r="93">
      <c r="A93" s="15" t="n"/>
      <c r="B93" s="16" t="n"/>
      <c r="C93" s="16" t="n"/>
      <c r="D93" s="16" t="n"/>
      <c r="E93" s="18" t="n"/>
      <c r="F93" s="19" t="n"/>
      <c r="G93" s="6">
        <f>IF(OR(A93="",E93=""),"",E93*IF(F93="",1,F93))</f>
        <v/>
      </c>
      <c r="H93">
        <f>IF(A93="","",YEAR(A93))</f>
        <v/>
      </c>
      <c r="I93">
        <f>IF(A93="","",IF(MONTH(A93)&lt;=3,1,IF(MONTH(A93)&lt;=5,2,IF(MONTH(A93)&lt;=8,3,4))))</f>
        <v/>
      </c>
      <c r="J93">
        <f>IF(A93="","",MONTH(A93))</f>
        <v/>
      </c>
    </row>
    <row r="94">
      <c r="A94" s="15" t="n"/>
      <c r="B94" s="16" t="n"/>
      <c r="C94" s="16" t="n"/>
      <c r="D94" s="16" t="n"/>
      <c r="E94" s="18" t="n"/>
      <c r="F94" s="19" t="n"/>
      <c r="G94" s="6">
        <f>IF(OR(A94="",E94=""),"",E94*IF(F94="",1,F94))</f>
        <v/>
      </c>
      <c r="H94">
        <f>IF(A94="","",YEAR(A94))</f>
        <v/>
      </c>
      <c r="I94">
        <f>IF(A94="","",IF(MONTH(A94)&lt;=3,1,IF(MONTH(A94)&lt;=5,2,IF(MONTH(A94)&lt;=8,3,4))))</f>
        <v/>
      </c>
      <c r="J94">
        <f>IF(A94="","",MONTH(A94))</f>
        <v/>
      </c>
    </row>
    <row r="95">
      <c r="A95" s="15" t="n"/>
      <c r="B95" s="16" t="n"/>
      <c r="C95" s="16" t="n"/>
      <c r="D95" s="16" t="n"/>
      <c r="E95" s="18" t="n"/>
      <c r="F95" s="19" t="n"/>
      <c r="G95" s="6">
        <f>IF(OR(A95="",E95=""),"",E95*IF(F95="",1,F95))</f>
        <v/>
      </c>
      <c r="H95">
        <f>IF(A95="","",YEAR(A95))</f>
        <v/>
      </c>
      <c r="I95">
        <f>IF(A95="","",IF(MONTH(A95)&lt;=3,1,IF(MONTH(A95)&lt;=5,2,IF(MONTH(A95)&lt;=8,3,4))))</f>
        <v/>
      </c>
      <c r="J95">
        <f>IF(A95="","",MONTH(A95))</f>
        <v/>
      </c>
    </row>
    <row r="96">
      <c r="A96" s="15" t="n"/>
      <c r="B96" s="16" t="n"/>
      <c r="C96" s="16" t="n"/>
      <c r="D96" s="16" t="n"/>
      <c r="E96" s="18" t="n"/>
      <c r="F96" s="19" t="n"/>
      <c r="G96" s="6">
        <f>IF(OR(A96="",E96=""),"",E96*IF(F96="",1,F96))</f>
        <v/>
      </c>
      <c r="H96">
        <f>IF(A96="","",YEAR(A96))</f>
        <v/>
      </c>
      <c r="I96">
        <f>IF(A96="","",IF(MONTH(A96)&lt;=3,1,IF(MONTH(A96)&lt;=5,2,IF(MONTH(A96)&lt;=8,3,4))))</f>
        <v/>
      </c>
      <c r="J96">
        <f>IF(A96="","",MONTH(A96))</f>
        <v/>
      </c>
    </row>
    <row r="97">
      <c r="A97" s="15" t="n"/>
      <c r="B97" s="16" t="n"/>
      <c r="C97" s="16" t="n"/>
      <c r="D97" s="16" t="n"/>
      <c r="E97" s="18" t="n"/>
      <c r="F97" s="19" t="n"/>
      <c r="G97" s="6">
        <f>IF(OR(A97="",E97=""),"",E97*IF(F97="",1,F97))</f>
        <v/>
      </c>
      <c r="H97">
        <f>IF(A97="","",YEAR(A97))</f>
        <v/>
      </c>
      <c r="I97">
        <f>IF(A97="","",IF(MONTH(A97)&lt;=3,1,IF(MONTH(A97)&lt;=5,2,IF(MONTH(A97)&lt;=8,3,4))))</f>
        <v/>
      </c>
      <c r="J97">
        <f>IF(A97="","",MONTH(A97))</f>
        <v/>
      </c>
    </row>
    <row r="98">
      <c r="A98" s="15" t="n"/>
      <c r="B98" s="16" t="n"/>
      <c r="C98" s="16" t="n"/>
      <c r="D98" s="16" t="n"/>
      <c r="E98" s="18" t="n"/>
      <c r="F98" s="19" t="n"/>
      <c r="G98" s="6">
        <f>IF(OR(A98="",E98=""),"",E98*IF(F98="",1,F98))</f>
        <v/>
      </c>
      <c r="H98">
        <f>IF(A98="","",YEAR(A98))</f>
        <v/>
      </c>
      <c r="I98">
        <f>IF(A98="","",IF(MONTH(A98)&lt;=3,1,IF(MONTH(A98)&lt;=5,2,IF(MONTH(A98)&lt;=8,3,4))))</f>
        <v/>
      </c>
      <c r="J98">
        <f>IF(A98="","",MONTH(A98))</f>
        <v/>
      </c>
    </row>
    <row r="99">
      <c r="A99" s="15" t="n"/>
      <c r="B99" s="16" t="n"/>
      <c r="C99" s="16" t="n"/>
      <c r="D99" s="16" t="n"/>
      <c r="E99" s="18" t="n"/>
      <c r="F99" s="19" t="n"/>
      <c r="G99" s="6">
        <f>IF(OR(A99="",E99=""),"",E99*IF(F99="",1,F99))</f>
        <v/>
      </c>
      <c r="H99">
        <f>IF(A99="","",YEAR(A99))</f>
        <v/>
      </c>
      <c r="I99">
        <f>IF(A99="","",IF(MONTH(A99)&lt;=3,1,IF(MONTH(A99)&lt;=5,2,IF(MONTH(A99)&lt;=8,3,4))))</f>
        <v/>
      </c>
      <c r="J99">
        <f>IF(A99="","",MONTH(A99))</f>
        <v/>
      </c>
    </row>
    <row r="100">
      <c r="A100" s="15" t="n"/>
      <c r="B100" s="16" t="n"/>
      <c r="C100" s="16" t="n"/>
      <c r="D100" s="16" t="n"/>
      <c r="E100" s="18" t="n"/>
      <c r="F100" s="19" t="n"/>
      <c r="G100" s="6">
        <f>IF(OR(A100="",E100=""),"",E100*IF(F100="",1,F100))</f>
        <v/>
      </c>
      <c r="H100">
        <f>IF(A100="","",YEAR(A100))</f>
        <v/>
      </c>
      <c r="I100">
        <f>IF(A100="","",IF(MONTH(A100)&lt;=3,1,IF(MONTH(A100)&lt;=5,2,IF(MONTH(A100)&lt;=8,3,4))))</f>
        <v/>
      </c>
      <c r="J100">
        <f>IF(A100="","",MONTH(A100))</f>
        <v/>
      </c>
    </row>
    <row r="101">
      <c r="A101" s="15" t="n"/>
      <c r="B101" s="16" t="n"/>
      <c r="C101" s="16" t="n"/>
      <c r="D101" s="16" t="n"/>
      <c r="E101" s="18" t="n"/>
      <c r="F101" s="19" t="n"/>
      <c r="G101" s="6">
        <f>IF(OR(A101="",E101=""),"",E101*IF(F101="",1,F101))</f>
        <v/>
      </c>
      <c r="H101">
        <f>IF(A101="","",YEAR(A101))</f>
        <v/>
      </c>
      <c r="I101">
        <f>IF(A101="","",IF(MONTH(A101)&lt;=3,1,IF(MONTH(A101)&lt;=5,2,IF(MONTH(A101)&lt;=8,3,4))))</f>
        <v/>
      </c>
      <c r="J101">
        <f>IF(A101="","",MONTH(A101))</f>
        <v/>
      </c>
    </row>
    <row r="102">
      <c r="A102" s="15" t="n"/>
      <c r="B102" s="16" t="n"/>
      <c r="C102" s="16" t="n"/>
      <c r="D102" s="16" t="n"/>
      <c r="E102" s="18" t="n"/>
      <c r="F102" s="19" t="n"/>
      <c r="G102" s="6">
        <f>IF(OR(A102="",E102=""),"",E102*IF(F102="",1,F102))</f>
        <v/>
      </c>
      <c r="H102">
        <f>IF(A102="","",YEAR(A102))</f>
        <v/>
      </c>
      <c r="I102">
        <f>IF(A102="","",IF(MONTH(A102)&lt;=3,1,IF(MONTH(A102)&lt;=5,2,IF(MONTH(A102)&lt;=8,3,4))))</f>
        <v/>
      </c>
      <c r="J102">
        <f>IF(A102="","",MONTH(A102))</f>
        <v/>
      </c>
    </row>
    <row r="103">
      <c r="A103" s="15" t="n"/>
      <c r="B103" s="16" t="n"/>
      <c r="C103" s="16" t="n"/>
      <c r="D103" s="16" t="n"/>
      <c r="E103" s="18" t="n"/>
      <c r="F103" s="19" t="n"/>
      <c r="G103" s="6">
        <f>IF(OR(A103="",E103=""),"",E103*IF(F103="",1,F103))</f>
        <v/>
      </c>
      <c r="H103">
        <f>IF(A103="","",YEAR(A103))</f>
        <v/>
      </c>
      <c r="I103">
        <f>IF(A103="","",IF(MONTH(A103)&lt;=3,1,IF(MONTH(A103)&lt;=5,2,IF(MONTH(A103)&lt;=8,3,4))))</f>
        <v/>
      </c>
      <c r="J103">
        <f>IF(A103="","",MONTH(A103))</f>
        <v/>
      </c>
    </row>
    <row r="104">
      <c r="A104" s="15" t="n"/>
      <c r="B104" s="16" t="n"/>
      <c r="C104" s="16" t="n"/>
      <c r="D104" s="16" t="n"/>
      <c r="E104" s="18" t="n"/>
      <c r="F104" s="19" t="n"/>
      <c r="G104" s="6">
        <f>IF(OR(A104="",E104=""),"",E104*IF(F104="",1,F104))</f>
        <v/>
      </c>
      <c r="H104">
        <f>IF(A104="","",YEAR(A104))</f>
        <v/>
      </c>
      <c r="I104">
        <f>IF(A104="","",IF(MONTH(A104)&lt;=3,1,IF(MONTH(A104)&lt;=5,2,IF(MONTH(A104)&lt;=8,3,4))))</f>
        <v/>
      </c>
      <c r="J104">
        <f>IF(A104="","",MONTH(A104))</f>
        <v/>
      </c>
    </row>
    <row r="105">
      <c r="A105" s="15" t="n"/>
      <c r="B105" s="16" t="n"/>
      <c r="C105" s="16" t="n"/>
      <c r="D105" s="16" t="n"/>
      <c r="E105" s="18" t="n"/>
      <c r="F105" s="19" t="n"/>
      <c r="G105" s="6">
        <f>IF(OR(A105="",E105=""),"",E105*IF(F105="",1,F105))</f>
        <v/>
      </c>
      <c r="H105">
        <f>IF(A105="","",YEAR(A105))</f>
        <v/>
      </c>
      <c r="I105">
        <f>IF(A105="","",IF(MONTH(A105)&lt;=3,1,IF(MONTH(A105)&lt;=5,2,IF(MONTH(A105)&lt;=8,3,4))))</f>
        <v/>
      </c>
      <c r="J105">
        <f>IF(A105="","",MONTH(A105))</f>
        <v/>
      </c>
    </row>
    <row r="106">
      <c r="A106" s="15" t="n"/>
      <c r="B106" s="16" t="n"/>
      <c r="C106" s="16" t="n"/>
      <c r="D106" s="16" t="n"/>
      <c r="E106" s="18" t="n"/>
      <c r="F106" s="19" t="n"/>
      <c r="G106" s="6">
        <f>IF(OR(A106="",E106=""),"",E106*IF(F106="",1,F106))</f>
        <v/>
      </c>
      <c r="H106">
        <f>IF(A106="","",YEAR(A106))</f>
        <v/>
      </c>
      <c r="I106">
        <f>IF(A106="","",IF(MONTH(A106)&lt;=3,1,IF(MONTH(A106)&lt;=5,2,IF(MONTH(A106)&lt;=8,3,4))))</f>
        <v/>
      </c>
      <c r="J106">
        <f>IF(A106="","",MONTH(A106))</f>
        <v/>
      </c>
    </row>
    <row r="107">
      <c r="A107" s="15" t="n"/>
      <c r="B107" s="16" t="n"/>
      <c r="C107" s="16" t="n"/>
      <c r="D107" s="16" t="n"/>
      <c r="E107" s="18" t="n"/>
      <c r="F107" s="19" t="n"/>
      <c r="G107" s="6">
        <f>IF(OR(A107="",E107=""),"",E107*IF(F107="",1,F107))</f>
        <v/>
      </c>
      <c r="H107">
        <f>IF(A107="","",YEAR(A107))</f>
        <v/>
      </c>
      <c r="I107">
        <f>IF(A107="","",IF(MONTH(A107)&lt;=3,1,IF(MONTH(A107)&lt;=5,2,IF(MONTH(A107)&lt;=8,3,4))))</f>
        <v/>
      </c>
      <c r="J107">
        <f>IF(A107="","",MONTH(A107))</f>
        <v/>
      </c>
    </row>
    <row r="108">
      <c r="A108" s="15" t="n"/>
      <c r="B108" s="16" t="n"/>
      <c r="C108" s="16" t="n"/>
      <c r="D108" s="16" t="n"/>
      <c r="E108" s="18" t="n"/>
      <c r="F108" s="19" t="n"/>
      <c r="G108" s="6">
        <f>IF(OR(A108="",E108=""),"",E108*IF(F108="",1,F108))</f>
        <v/>
      </c>
      <c r="H108">
        <f>IF(A108="","",YEAR(A108))</f>
        <v/>
      </c>
      <c r="I108">
        <f>IF(A108="","",IF(MONTH(A108)&lt;=3,1,IF(MONTH(A108)&lt;=5,2,IF(MONTH(A108)&lt;=8,3,4))))</f>
        <v/>
      </c>
      <c r="J108">
        <f>IF(A108="","",MONTH(A108))</f>
        <v/>
      </c>
    </row>
    <row r="109">
      <c r="A109" s="15" t="n"/>
      <c r="B109" s="16" t="n"/>
      <c r="C109" s="16" t="n"/>
      <c r="D109" s="16" t="n"/>
      <c r="E109" s="18" t="n"/>
      <c r="F109" s="19" t="n"/>
      <c r="G109" s="6">
        <f>IF(OR(A109="",E109=""),"",E109*IF(F109="",1,F109))</f>
        <v/>
      </c>
      <c r="H109">
        <f>IF(A109="","",YEAR(A109))</f>
        <v/>
      </c>
      <c r="I109">
        <f>IF(A109="","",IF(MONTH(A109)&lt;=3,1,IF(MONTH(A109)&lt;=5,2,IF(MONTH(A109)&lt;=8,3,4))))</f>
        <v/>
      </c>
      <c r="J109">
        <f>IF(A109="","",MONTH(A109))</f>
        <v/>
      </c>
    </row>
    <row r="110">
      <c r="A110" s="15" t="n"/>
      <c r="B110" s="16" t="n"/>
      <c r="C110" s="16" t="n"/>
      <c r="D110" s="16" t="n"/>
      <c r="E110" s="18" t="n"/>
      <c r="F110" s="19" t="n"/>
      <c r="G110" s="6">
        <f>IF(OR(A110="",E110=""),"",E110*IF(F110="",1,F110))</f>
        <v/>
      </c>
      <c r="H110">
        <f>IF(A110="","",YEAR(A110))</f>
        <v/>
      </c>
      <c r="I110">
        <f>IF(A110="","",IF(MONTH(A110)&lt;=3,1,IF(MONTH(A110)&lt;=5,2,IF(MONTH(A110)&lt;=8,3,4))))</f>
        <v/>
      </c>
      <c r="J110">
        <f>IF(A110="","",MONTH(A110))</f>
        <v/>
      </c>
    </row>
    <row r="111">
      <c r="A111" s="15" t="n"/>
      <c r="B111" s="16" t="n"/>
      <c r="C111" s="16" t="n"/>
      <c r="D111" s="16" t="n"/>
      <c r="E111" s="18" t="n"/>
      <c r="F111" s="19" t="n"/>
      <c r="G111" s="6">
        <f>IF(OR(A111="",E111=""),"",E111*IF(F111="",1,F111))</f>
        <v/>
      </c>
      <c r="H111">
        <f>IF(A111="","",YEAR(A111))</f>
        <v/>
      </c>
      <c r="I111">
        <f>IF(A111="","",IF(MONTH(A111)&lt;=3,1,IF(MONTH(A111)&lt;=5,2,IF(MONTH(A111)&lt;=8,3,4))))</f>
        <v/>
      </c>
      <c r="J111">
        <f>IF(A111="","",MONTH(A111))</f>
        <v/>
      </c>
    </row>
    <row r="112">
      <c r="A112" s="15" t="n"/>
      <c r="B112" s="16" t="n"/>
      <c r="C112" s="16" t="n"/>
      <c r="D112" s="16" t="n"/>
      <c r="E112" s="18" t="n"/>
      <c r="F112" s="19" t="n"/>
      <c r="G112" s="6">
        <f>IF(OR(A112="",E112=""),"",E112*IF(F112="",1,F112))</f>
        <v/>
      </c>
      <c r="H112">
        <f>IF(A112="","",YEAR(A112))</f>
        <v/>
      </c>
      <c r="I112">
        <f>IF(A112="","",IF(MONTH(A112)&lt;=3,1,IF(MONTH(A112)&lt;=5,2,IF(MONTH(A112)&lt;=8,3,4))))</f>
        <v/>
      </c>
      <c r="J112">
        <f>IF(A112="","",MONTH(A112))</f>
        <v/>
      </c>
    </row>
    <row r="113">
      <c r="A113" s="15" t="n"/>
      <c r="B113" s="16" t="n"/>
      <c r="C113" s="16" t="n"/>
      <c r="D113" s="16" t="n"/>
      <c r="E113" s="18" t="n"/>
      <c r="F113" s="19" t="n"/>
      <c r="G113" s="6">
        <f>IF(OR(A113="",E113=""),"",E113*IF(F113="",1,F113))</f>
        <v/>
      </c>
      <c r="H113">
        <f>IF(A113="","",YEAR(A113))</f>
        <v/>
      </c>
      <c r="I113">
        <f>IF(A113="","",IF(MONTH(A113)&lt;=3,1,IF(MONTH(A113)&lt;=5,2,IF(MONTH(A113)&lt;=8,3,4))))</f>
        <v/>
      </c>
      <c r="J113">
        <f>IF(A113="","",MONTH(A113))</f>
        <v/>
      </c>
    </row>
    <row r="114">
      <c r="A114" s="15" t="n"/>
      <c r="B114" s="16" t="n"/>
      <c r="C114" s="16" t="n"/>
      <c r="D114" s="16" t="n"/>
      <c r="E114" s="18" t="n"/>
      <c r="F114" s="19" t="n"/>
      <c r="G114" s="6">
        <f>IF(OR(A114="",E114=""),"",E114*IF(F114="",1,F114))</f>
        <v/>
      </c>
      <c r="H114">
        <f>IF(A114="","",YEAR(A114))</f>
        <v/>
      </c>
      <c r="I114">
        <f>IF(A114="","",IF(MONTH(A114)&lt;=3,1,IF(MONTH(A114)&lt;=5,2,IF(MONTH(A114)&lt;=8,3,4))))</f>
        <v/>
      </c>
      <c r="J114">
        <f>IF(A114="","",MONTH(A114))</f>
        <v/>
      </c>
    </row>
    <row r="115">
      <c r="A115" s="15" t="n"/>
      <c r="B115" s="16" t="n"/>
      <c r="C115" s="16" t="n"/>
      <c r="D115" s="16" t="n"/>
      <c r="E115" s="18" t="n"/>
      <c r="F115" s="19" t="n"/>
      <c r="G115" s="6">
        <f>IF(OR(A115="",E115=""),"",E115*IF(F115="",1,F115))</f>
        <v/>
      </c>
      <c r="H115">
        <f>IF(A115="","",YEAR(A115))</f>
        <v/>
      </c>
      <c r="I115">
        <f>IF(A115="","",IF(MONTH(A115)&lt;=3,1,IF(MONTH(A115)&lt;=5,2,IF(MONTH(A115)&lt;=8,3,4))))</f>
        <v/>
      </c>
      <c r="J115">
        <f>IF(A115="","",MONTH(A115))</f>
        <v/>
      </c>
    </row>
    <row r="116">
      <c r="A116" s="15" t="n"/>
      <c r="B116" s="16" t="n"/>
      <c r="C116" s="16" t="n"/>
      <c r="D116" s="16" t="n"/>
      <c r="E116" s="18" t="n"/>
      <c r="F116" s="19" t="n"/>
      <c r="G116" s="6">
        <f>IF(OR(A116="",E116=""),"",E116*IF(F116="",1,F116))</f>
        <v/>
      </c>
      <c r="H116">
        <f>IF(A116="","",YEAR(A116))</f>
        <v/>
      </c>
      <c r="I116">
        <f>IF(A116="","",IF(MONTH(A116)&lt;=3,1,IF(MONTH(A116)&lt;=5,2,IF(MONTH(A116)&lt;=8,3,4))))</f>
        <v/>
      </c>
      <c r="J116">
        <f>IF(A116="","",MONTH(A116))</f>
        <v/>
      </c>
    </row>
    <row r="117">
      <c r="A117" s="15" t="n"/>
      <c r="B117" s="16" t="n"/>
      <c r="C117" s="16" t="n"/>
      <c r="D117" s="16" t="n"/>
      <c r="E117" s="18" t="n"/>
      <c r="F117" s="19" t="n"/>
      <c r="G117" s="6">
        <f>IF(OR(A117="",E117=""),"",E117*IF(F117="",1,F117))</f>
        <v/>
      </c>
      <c r="H117">
        <f>IF(A117="","",YEAR(A117))</f>
        <v/>
      </c>
      <c r="I117">
        <f>IF(A117="","",IF(MONTH(A117)&lt;=3,1,IF(MONTH(A117)&lt;=5,2,IF(MONTH(A117)&lt;=8,3,4))))</f>
        <v/>
      </c>
      <c r="J117">
        <f>IF(A117="","",MONTH(A117))</f>
        <v/>
      </c>
    </row>
    <row r="118">
      <c r="A118" s="15" t="n"/>
      <c r="B118" s="16" t="n"/>
      <c r="C118" s="16" t="n"/>
      <c r="D118" s="16" t="n"/>
      <c r="E118" s="18" t="n"/>
      <c r="F118" s="19" t="n"/>
      <c r="G118" s="6">
        <f>IF(OR(A118="",E118=""),"",E118*IF(F118="",1,F118))</f>
        <v/>
      </c>
      <c r="H118">
        <f>IF(A118="","",YEAR(A118))</f>
        <v/>
      </c>
      <c r="I118">
        <f>IF(A118="","",IF(MONTH(A118)&lt;=3,1,IF(MONTH(A118)&lt;=5,2,IF(MONTH(A118)&lt;=8,3,4))))</f>
        <v/>
      </c>
      <c r="J118">
        <f>IF(A118="","",MONTH(A118))</f>
        <v/>
      </c>
    </row>
    <row r="119">
      <c r="A119" s="15" t="n"/>
      <c r="B119" s="16" t="n"/>
      <c r="C119" s="16" t="n"/>
      <c r="D119" s="16" t="n"/>
      <c r="E119" s="18" t="n"/>
      <c r="F119" s="19" t="n"/>
      <c r="G119" s="6">
        <f>IF(OR(A119="",E119=""),"",E119*IF(F119="",1,F119))</f>
        <v/>
      </c>
      <c r="H119">
        <f>IF(A119="","",YEAR(A119))</f>
        <v/>
      </c>
      <c r="I119">
        <f>IF(A119="","",IF(MONTH(A119)&lt;=3,1,IF(MONTH(A119)&lt;=5,2,IF(MONTH(A119)&lt;=8,3,4))))</f>
        <v/>
      </c>
      <c r="J119">
        <f>IF(A119="","",MONTH(A119))</f>
        <v/>
      </c>
    </row>
    <row r="120">
      <c r="A120" s="15" t="n"/>
      <c r="B120" s="16" t="n"/>
      <c r="C120" s="16" t="n"/>
      <c r="D120" s="16" t="n"/>
      <c r="E120" s="18" t="n"/>
      <c r="F120" s="19" t="n"/>
      <c r="G120" s="6">
        <f>IF(OR(A120="",E120=""),"",E120*IF(F120="",1,F120))</f>
        <v/>
      </c>
      <c r="H120">
        <f>IF(A120="","",YEAR(A120))</f>
        <v/>
      </c>
      <c r="I120">
        <f>IF(A120="","",IF(MONTH(A120)&lt;=3,1,IF(MONTH(A120)&lt;=5,2,IF(MONTH(A120)&lt;=8,3,4))))</f>
        <v/>
      </c>
      <c r="J120">
        <f>IF(A120="","",MONTH(A120))</f>
        <v/>
      </c>
    </row>
    <row r="121">
      <c r="A121" s="15" t="n"/>
      <c r="B121" s="16" t="n"/>
      <c r="C121" s="16" t="n"/>
      <c r="D121" s="16" t="n"/>
      <c r="E121" s="18" t="n"/>
      <c r="F121" s="19" t="n"/>
      <c r="G121" s="6">
        <f>IF(OR(A121="",E121=""),"",E121*IF(F121="",1,F121))</f>
        <v/>
      </c>
      <c r="H121">
        <f>IF(A121="","",YEAR(A121))</f>
        <v/>
      </c>
      <c r="I121">
        <f>IF(A121="","",IF(MONTH(A121)&lt;=3,1,IF(MONTH(A121)&lt;=5,2,IF(MONTH(A121)&lt;=8,3,4))))</f>
        <v/>
      </c>
      <c r="J121">
        <f>IF(A121="","",MONTH(A121))</f>
        <v/>
      </c>
    </row>
    <row r="122">
      <c r="A122" s="15" t="n"/>
      <c r="B122" s="16" t="n"/>
      <c r="C122" s="16" t="n"/>
      <c r="D122" s="16" t="n"/>
      <c r="E122" s="18" t="n"/>
      <c r="F122" s="19" t="n"/>
      <c r="G122" s="6">
        <f>IF(OR(A122="",E122=""),"",E122*IF(F122="",1,F122))</f>
        <v/>
      </c>
      <c r="H122">
        <f>IF(A122="","",YEAR(A122))</f>
        <v/>
      </c>
      <c r="I122">
        <f>IF(A122="","",IF(MONTH(A122)&lt;=3,1,IF(MONTH(A122)&lt;=5,2,IF(MONTH(A122)&lt;=8,3,4))))</f>
        <v/>
      </c>
      <c r="J122">
        <f>IF(A122="","",MONTH(A122))</f>
        <v/>
      </c>
    </row>
    <row r="123">
      <c r="A123" s="15" t="n"/>
      <c r="B123" s="16" t="n"/>
      <c r="C123" s="16" t="n"/>
      <c r="D123" s="16" t="n"/>
      <c r="E123" s="18" t="n"/>
      <c r="F123" s="19" t="n"/>
      <c r="G123" s="6">
        <f>IF(OR(A123="",E123=""),"",E123*IF(F123="",1,F123))</f>
        <v/>
      </c>
      <c r="H123">
        <f>IF(A123="","",YEAR(A123))</f>
        <v/>
      </c>
      <c r="I123">
        <f>IF(A123="","",IF(MONTH(A123)&lt;=3,1,IF(MONTH(A123)&lt;=5,2,IF(MONTH(A123)&lt;=8,3,4))))</f>
        <v/>
      </c>
      <c r="J123">
        <f>IF(A123="","",MONTH(A123))</f>
        <v/>
      </c>
    </row>
    <row r="124">
      <c r="A124" s="15" t="n"/>
      <c r="B124" s="16" t="n"/>
      <c r="C124" s="16" t="n"/>
      <c r="D124" s="16" t="n"/>
      <c r="E124" s="18" t="n"/>
      <c r="F124" s="19" t="n"/>
      <c r="G124" s="6">
        <f>IF(OR(A124="",E124=""),"",E124*IF(F124="",1,F124))</f>
        <v/>
      </c>
      <c r="H124">
        <f>IF(A124="","",YEAR(A124))</f>
        <v/>
      </c>
      <c r="I124">
        <f>IF(A124="","",IF(MONTH(A124)&lt;=3,1,IF(MONTH(A124)&lt;=5,2,IF(MONTH(A124)&lt;=8,3,4))))</f>
        <v/>
      </c>
      <c r="J124">
        <f>IF(A124="","",MONTH(A124))</f>
        <v/>
      </c>
    </row>
    <row r="125">
      <c r="A125" s="15" t="n"/>
      <c r="B125" s="16" t="n"/>
      <c r="C125" s="16" t="n"/>
      <c r="D125" s="16" t="n"/>
      <c r="E125" s="18" t="n"/>
      <c r="F125" s="19" t="n"/>
      <c r="G125" s="6">
        <f>IF(OR(A125="",E125=""),"",E125*IF(F125="",1,F125))</f>
        <v/>
      </c>
      <c r="H125">
        <f>IF(A125="","",YEAR(A125))</f>
        <v/>
      </c>
      <c r="I125">
        <f>IF(A125="","",IF(MONTH(A125)&lt;=3,1,IF(MONTH(A125)&lt;=5,2,IF(MONTH(A125)&lt;=8,3,4))))</f>
        <v/>
      </c>
      <c r="J125">
        <f>IF(A125="","",MONTH(A125))</f>
        <v/>
      </c>
    </row>
    <row r="126">
      <c r="A126" s="15" t="n"/>
      <c r="B126" s="16" t="n"/>
      <c r="C126" s="16" t="n"/>
      <c r="D126" s="16" t="n"/>
      <c r="E126" s="18" t="n"/>
      <c r="F126" s="19" t="n"/>
      <c r="G126" s="6">
        <f>IF(OR(A126="",E126=""),"",E126*IF(F126="",1,F126))</f>
        <v/>
      </c>
      <c r="H126">
        <f>IF(A126="","",YEAR(A126))</f>
        <v/>
      </c>
      <c r="I126">
        <f>IF(A126="","",IF(MONTH(A126)&lt;=3,1,IF(MONTH(A126)&lt;=5,2,IF(MONTH(A126)&lt;=8,3,4))))</f>
        <v/>
      </c>
      <c r="J126">
        <f>IF(A126="","",MONTH(A126))</f>
        <v/>
      </c>
    </row>
    <row r="127">
      <c r="A127" s="15" t="n"/>
      <c r="B127" s="16" t="n"/>
      <c r="C127" s="16" t="n"/>
      <c r="D127" s="16" t="n"/>
      <c r="E127" s="18" t="n"/>
      <c r="F127" s="19" t="n"/>
      <c r="G127" s="6">
        <f>IF(OR(A127="",E127=""),"",E127*IF(F127="",1,F127))</f>
        <v/>
      </c>
      <c r="H127">
        <f>IF(A127="","",YEAR(A127))</f>
        <v/>
      </c>
      <c r="I127">
        <f>IF(A127="","",IF(MONTH(A127)&lt;=3,1,IF(MONTH(A127)&lt;=5,2,IF(MONTH(A127)&lt;=8,3,4))))</f>
        <v/>
      </c>
      <c r="J127">
        <f>IF(A127="","",MONTH(A127))</f>
        <v/>
      </c>
    </row>
    <row r="128">
      <c r="A128" s="15" t="n"/>
      <c r="B128" s="16" t="n"/>
      <c r="C128" s="16" t="n"/>
      <c r="D128" s="16" t="n"/>
      <c r="E128" s="18" t="n"/>
      <c r="F128" s="19" t="n"/>
      <c r="G128" s="6">
        <f>IF(OR(A128="",E128=""),"",E128*IF(F128="",1,F128))</f>
        <v/>
      </c>
      <c r="H128">
        <f>IF(A128="","",YEAR(A128))</f>
        <v/>
      </c>
      <c r="I128">
        <f>IF(A128="","",IF(MONTH(A128)&lt;=3,1,IF(MONTH(A128)&lt;=5,2,IF(MONTH(A128)&lt;=8,3,4))))</f>
        <v/>
      </c>
      <c r="J128">
        <f>IF(A128="","",MONTH(A128))</f>
        <v/>
      </c>
    </row>
    <row r="129">
      <c r="A129" s="15" t="n"/>
      <c r="B129" s="16" t="n"/>
      <c r="C129" s="16" t="n"/>
      <c r="D129" s="16" t="n"/>
      <c r="E129" s="18" t="n"/>
      <c r="F129" s="19" t="n"/>
      <c r="G129" s="6">
        <f>IF(OR(A129="",E129=""),"",E129*IF(F129="",1,F129))</f>
        <v/>
      </c>
      <c r="H129">
        <f>IF(A129="","",YEAR(A129))</f>
        <v/>
      </c>
      <c r="I129">
        <f>IF(A129="","",IF(MONTH(A129)&lt;=3,1,IF(MONTH(A129)&lt;=5,2,IF(MONTH(A129)&lt;=8,3,4))))</f>
        <v/>
      </c>
      <c r="J129">
        <f>IF(A129="","",MONTH(A129))</f>
        <v/>
      </c>
    </row>
    <row r="130">
      <c r="A130" s="15" t="n"/>
      <c r="B130" s="16" t="n"/>
      <c r="C130" s="16" t="n"/>
      <c r="D130" s="16" t="n"/>
      <c r="E130" s="18" t="n"/>
      <c r="F130" s="19" t="n"/>
      <c r="G130" s="6">
        <f>IF(OR(A130="",E130=""),"",E130*IF(F130="",1,F130))</f>
        <v/>
      </c>
      <c r="H130">
        <f>IF(A130="","",YEAR(A130))</f>
        <v/>
      </c>
      <c r="I130">
        <f>IF(A130="","",IF(MONTH(A130)&lt;=3,1,IF(MONTH(A130)&lt;=5,2,IF(MONTH(A130)&lt;=8,3,4))))</f>
        <v/>
      </c>
      <c r="J130">
        <f>IF(A130="","",MONTH(A130))</f>
        <v/>
      </c>
    </row>
    <row r="131">
      <c r="A131" s="15" t="n"/>
      <c r="B131" s="16" t="n"/>
      <c r="C131" s="16" t="n"/>
      <c r="D131" s="16" t="n"/>
      <c r="E131" s="18" t="n"/>
      <c r="F131" s="19" t="n"/>
      <c r="G131" s="6">
        <f>IF(OR(A131="",E131=""),"",E131*IF(F131="",1,F131))</f>
        <v/>
      </c>
      <c r="H131">
        <f>IF(A131="","",YEAR(A131))</f>
        <v/>
      </c>
      <c r="I131">
        <f>IF(A131="","",IF(MONTH(A131)&lt;=3,1,IF(MONTH(A131)&lt;=5,2,IF(MONTH(A131)&lt;=8,3,4))))</f>
        <v/>
      </c>
      <c r="J131">
        <f>IF(A131="","",MONTH(A131))</f>
        <v/>
      </c>
    </row>
    <row r="132">
      <c r="A132" s="15" t="n"/>
      <c r="B132" s="16" t="n"/>
      <c r="C132" s="16" t="n"/>
      <c r="D132" s="16" t="n"/>
      <c r="E132" s="18" t="n"/>
      <c r="F132" s="19" t="n"/>
      <c r="G132" s="6">
        <f>IF(OR(A132="",E132=""),"",E132*IF(F132="",1,F132))</f>
        <v/>
      </c>
      <c r="H132">
        <f>IF(A132="","",YEAR(A132))</f>
        <v/>
      </c>
      <c r="I132">
        <f>IF(A132="","",IF(MONTH(A132)&lt;=3,1,IF(MONTH(A132)&lt;=5,2,IF(MONTH(A132)&lt;=8,3,4))))</f>
        <v/>
      </c>
      <c r="J132">
        <f>IF(A132="","",MONTH(A132))</f>
        <v/>
      </c>
    </row>
    <row r="133">
      <c r="A133" s="15" t="n"/>
      <c r="B133" s="16" t="n"/>
      <c r="C133" s="16" t="n"/>
      <c r="D133" s="16" t="n"/>
      <c r="E133" s="18" t="n"/>
      <c r="F133" s="19" t="n"/>
      <c r="G133" s="6">
        <f>IF(OR(A133="",E133=""),"",E133*IF(F133="",1,F133))</f>
        <v/>
      </c>
      <c r="H133">
        <f>IF(A133="","",YEAR(A133))</f>
        <v/>
      </c>
      <c r="I133">
        <f>IF(A133="","",IF(MONTH(A133)&lt;=3,1,IF(MONTH(A133)&lt;=5,2,IF(MONTH(A133)&lt;=8,3,4))))</f>
        <v/>
      </c>
      <c r="J133">
        <f>IF(A133="","",MONTH(A133))</f>
        <v/>
      </c>
    </row>
    <row r="134">
      <c r="A134" s="15" t="n"/>
      <c r="B134" s="16" t="n"/>
      <c r="C134" s="16" t="n"/>
      <c r="D134" s="16" t="n"/>
      <c r="E134" s="18" t="n"/>
      <c r="F134" s="19" t="n"/>
      <c r="G134" s="6">
        <f>IF(OR(A134="",E134=""),"",E134*IF(F134="",1,F134))</f>
        <v/>
      </c>
      <c r="H134">
        <f>IF(A134="","",YEAR(A134))</f>
        <v/>
      </c>
      <c r="I134">
        <f>IF(A134="","",IF(MONTH(A134)&lt;=3,1,IF(MONTH(A134)&lt;=5,2,IF(MONTH(A134)&lt;=8,3,4))))</f>
        <v/>
      </c>
      <c r="J134">
        <f>IF(A134="","",MONTH(A134))</f>
        <v/>
      </c>
    </row>
    <row r="135">
      <c r="A135" s="15" t="n"/>
      <c r="B135" s="16" t="n"/>
      <c r="C135" s="16" t="n"/>
      <c r="D135" s="16" t="n"/>
      <c r="E135" s="18" t="n"/>
      <c r="F135" s="19" t="n"/>
      <c r="G135" s="6">
        <f>IF(OR(A135="",E135=""),"",E135*IF(F135="",1,F135))</f>
        <v/>
      </c>
      <c r="H135">
        <f>IF(A135="","",YEAR(A135))</f>
        <v/>
      </c>
      <c r="I135">
        <f>IF(A135="","",IF(MONTH(A135)&lt;=3,1,IF(MONTH(A135)&lt;=5,2,IF(MONTH(A135)&lt;=8,3,4))))</f>
        <v/>
      </c>
      <c r="J135">
        <f>IF(A135="","",MONTH(A135))</f>
        <v/>
      </c>
    </row>
    <row r="136">
      <c r="A136" s="15" t="n"/>
      <c r="B136" s="16" t="n"/>
      <c r="C136" s="16" t="n"/>
      <c r="D136" s="16" t="n"/>
      <c r="E136" s="18" t="n"/>
      <c r="F136" s="19" t="n"/>
      <c r="G136" s="6">
        <f>IF(OR(A136="",E136=""),"",E136*IF(F136="",1,F136))</f>
        <v/>
      </c>
      <c r="H136">
        <f>IF(A136="","",YEAR(A136))</f>
        <v/>
      </c>
      <c r="I136">
        <f>IF(A136="","",IF(MONTH(A136)&lt;=3,1,IF(MONTH(A136)&lt;=5,2,IF(MONTH(A136)&lt;=8,3,4))))</f>
        <v/>
      </c>
      <c r="J136">
        <f>IF(A136="","",MONTH(A136))</f>
        <v/>
      </c>
    </row>
    <row r="137">
      <c r="A137" s="15" t="n"/>
      <c r="B137" s="16" t="n"/>
      <c r="C137" s="16" t="n"/>
      <c r="D137" s="16" t="n"/>
      <c r="E137" s="18" t="n"/>
      <c r="F137" s="19" t="n"/>
      <c r="G137" s="6">
        <f>IF(OR(A137="",E137=""),"",E137*IF(F137="",1,F137))</f>
        <v/>
      </c>
      <c r="H137">
        <f>IF(A137="","",YEAR(A137))</f>
        <v/>
      </c>
      <c r="I137">
        <f>IF(A137="","",IF(MONTH(A137)&lt;=3,1,IF(MONTH(A137)&lt;=5,2,IF(MONTH(A137)&lt;=8,3,4))))</f>
        <v/>
      </c>
      <c r="J137">
        <f>IF(A137="","",MONTH(A137))</f>
        <v/>
      </c>
    </row>
    <row r="138">
      <c r="A138" s="15" t="n"/>
      <c r="B138" s="16" t="n"/>
      <c r="C138" s="16" t="n"/>
      <c r="D138" s="16" t="n"/>
      <c r="E138" s="18" t="n"/>
      <c r="F138" s="19" t="n"/>
      <c r="G138" s="6">
        <f>IF(OR(A138="",E138=""),"",E138*IF(F138="",1,F138))</f>
        <v/>
      </c>
      <c r="H138">
        <f>IF(A138="","",YEAR(A138))</f>
        <v/>
      </c>
      <c r="I138">
        <f>IF(A138="","",IF(MONTH(A138)&lt;=3,1,IF(MONTH(A138)&lt;=5,2,IF(MONTH(A138)&lt;=8,3,4))))</f>
        <v/>
      </c>
      <c r="J138">
        <f>IF(A138="","",MONTH(A138))</f>
        <v/>
      </c>
    </row>
    <row r="139">
      <c r="A139" s="15" t="n"/>
      <c r="B139" s="16" t="n"/>
      <c r="C139" s="16" t="n"/>
      <c r="D139" s="16" t="n"/>
      <c r="E139" s="18" t="n"/>
      <c r="F139" s="19" t="n"/>
      <c r="G139" s="6">
        <f>IF(OR(A139="",E139=""),"",E139*IF(F139="",1,F139))</f>
        <v/>
      </c>
      <c r="H139">
        <f>IF(A139="","",YEAR(A139))</f>
        <v/>
      </c>
      <c r="I139">
        <f>IF(A139="","",IF(MONTH(A139)&lt;=3,1,IF(MONTH(A139)&lt;=5,2,IF(MONTH(A139)&lt;=8,3,4))))</f>
        <v/>
      </c>
      <c r="J139">
        <f>IF(A139="","",MONTH(A139))</f>
        <v/>
      </c>
    </row>
    <row r="140">
      <c r="A140" s="15" t="n"/>
      <c r="B140" s="16" t="n"/>
      <c r="C140" s="16" t="n"/>
      <c r="D140" s="16" t="n"/>
      <c r="E140" s="18" t="n"/>
      <c r="F140" s="19" t="n"/>
      <c r="G140" s="6">
        <f>IF(OR(A140="",E140=""),"",E140*IF(F140="",1,F140))</f>
        <v/>
      </c>
      <c r="H140">
        <f>IF(A140="","",YEAR(A140))</f>
        <v/>
      </c>
      <c r="I140">
        <f>IF(A140="","",IF(MONTH(A140)&lt;=3,1,IF(MONTH(A140)&lt;=5,2,IF(MONTH(A140)&lt;=8,3,4))))</f>
        <v/>
      </c>
      <c r="J140">
        <f>IF(A140="","",MONTH(A140))</f>
        <v/>
      </c>
    </row>
    <row r="141">
      <c r="A141" s="15" t="n"/>
      <c r="B141" s="16" t="n"/>
      <c r="C141" s="16" t="n"/>
      <c r="D141" s="16" t="n"/>
      <c r="E141" s="18" t="n"/>
      <c r="F141" s="19" t="n"/>
      <c r="G141" s="6">
        <f>IF(OR(A141="",E141=""),"",E141*IF(F141="",1,F141))</f>
        <v/>
      </c>
      <c r="H141">
        <f>IF(A141="","",YEAR(A141))</f>
        <v/>
      </c>
      <c r="I141">
        <f>IF(A141="","",IF(MONTH(A141)&lt;=3,1,IF(MONTH(A141)&lt;=5,2,IF(MONTH(A141)&lt;=8,3,4))))</f>
        <v/>
      </c>
      <c r="J141">
        <f>IF(A141="","",MONTH(A141))</f>
        <v/>
      </c>
    </row>
    <row r="142">
      <c r="A142" s="15" t="n"/>
      <c r="B142" s="16" t="n"/>
      <c r="C142" s="16" t="n"/>
      <c r="D142" s="16" t="n"/>
      <c r="E142" s="18" t="n"/>
      <c r="F142" s="19" t="n"/>
      <c r="G142" s="6">
        <f>IF(OR(A142="",E142=""),"",E142*IF(F142="",1,F142))</f>
        <v/>
      </c>
      <c r="H142">
        <f>IF(A142="","",YEAR(A142))</f>
        <v/>
      </c>
      <c r="I142">
        <f>IF(A142="","",IF(MONTH(A142)&lt;=3,1,IF(MONTH(A142)&lt;=5,2,IF(MONTH(A142)&lt;=8,3,4))))</f>
        <v/>
      </c>
      <c r="J142">
        <f>IF(A142="","",MONTH(A142))</f>
        <v/>
      </c>
    </row>
    <row r="143">
      <c r="A143" s="15" t="n"/>
      <c r="B143" s="16" t="n"/>
      <c r="C143" s="16" t="n"/>
      <c r="D143" s="16" t="n"/>
      <c r="E143" s="18" t="n"/>
      <c r="F143" s="19" t="n"/>
      <c r="G143" s="6">
        <f>IF(OR(A143="",E143=""),"",E143*IF(F143="",1,F143))</f>
        <v/>
      </c>
      <c r="H143">
        <f>IF(A143="","",YEAR(A143))</f>
        <v/>
      </c>
      <c r="I143">
        <f>IF(A143="","",IF(MONTH(A143)&lt;=3,1,IF(MONTH(A143)&lt;=5,2,IF(MONTH(A143)&lt;=8,3,4))))</f>
        <v/>
      </c>
      <c r="J143">
        <f>IF(A143="","",MONTH(A143))</f>
        <v/>
      </c>
    </row>
    <row r="144">
      <c r="A144" s="15" t="n"/>
      <c r="B144" s="16" t="n"/>
      <c r="C144" s="16" t="n"/>
      <c r="D144" s="16" t="n"/>
      <c r="E144" s="18" t="n"/>
      <c r="F144" s="19" t="n"/>
      <c r="G144" s="6">
        <f>IF(OR(A144="",E144=""),"",E144*IF(F144="",1,F144))</f>
        <v/>
      </c>
      <c r="H144">
        <f>IF(A144="","",YEAR(A144))</f>
        <v/>
      </c>
      <c r="I144">
        <f>IF(A144="","",IF(MONTH(A144)&lt;=3,1,IF(MONTH(A144)&lt;=5,2,IF(MONTH(A144)&lt;=8,3,4))))</f>
        <v/>
      </c>
      <c r="J144">
        <f>IF(A144="","",MONTH(A144))</f>
        <v/>
      </c>
    </row>
    <row r="145">
      <c r="A145" s="15" t="n"/>
      <c r="B145" s="16" t="n"/>
      <c r="C145" s="16" t="n"/>
      <c r="D145" s="16" t="n"/>
      <c r="E145" s="18" t="n"/>
      <c r="F145" s="19" t="n"/>
      <c r="G145" s="6">
        <f>IF(OR(A145="",E145=""),"",E145*IF(F145="",1,F145))</f>
        <v/>
      </c>
      <c r="H145">
        <f>IF(A145="","",YEAR(A145))</f>
        <v/>
      </c>
      <c r="I145">
        <f>IF(A145="","",IF(MONTH(A145)&lt;=3,1,IF(MONTH(A145)&lt;=5,2,IF(MONTH(A145)&lt;=8,3,4))))</f>
        <v/>
      </c>
      <c r="J145">
        <f>IF(A145="","",MONTH(A145))</f>
        <v/>
      </c>
    </row>
    <row r="146">
      <c r="A146" s="15" t="n"/>
      <c r="B146" s="16" t="n"/>
      <c r="C146" s="16" t="n"/>
      <c r="D146" s="16" t="n"/>
      <c r="E146" s="18" t="n"/>
      <c r="F146" s="19" t="n"/>
      <c r="G146" s="6">
        <f>IF(OR(A146="",E146=""),"",E146*IF(F146="",1,F146))</f>
        <v/>
      </c>
      <c r="H146">
        <f>IF(A146="","",YEAR(A146))</f>
        <v/>
      </c>
      <c r="I146">
        <f>IF(A146="","",IF(MONTH(A146)&lt;=3,1,IF(MONTH(A146)&lt;=5,2,IF(MONTH(A146)&lt;=8,3,4))))</f>
        <v/>
      </c>
      <c r="J146">
        <f>IF(A146="","",MONTH(A146))</f>
        <v/>
      </c>
    </row>
    <row r="147">
      <c r="A147" s="15" t="n"/>
      <c r="B147" s="16" t="n"/>
      <c r="C147" s="16" t="n"/>
      <c r="D147" s="16" t="n"/>
      <c r="E147" s="18" t="n"/>
      <c r="F147" s="19" t="n"/>
      <c r="G147" s="6">
        <f>IF(OR(A147="",E147=""),"",E147*IF(F147="",1,F147))</f>
        <v/>
      </c>
      <c r="H147">
        <f>IF(A147="","",YEAR(A147))</f>
        <v/>
      </c>
      <c r="I147">
        <f>IF(A147="","",IF(MONTH(A147)&lt;=3,1,IF(MONTH(A147)&lt;=5,2,IF(MONTH(A147)&lt;=8,3,4))))</f>
        <v/>
      </c>
      <c r="J147">
        <f>IF(A147="","",MONTH(A147))</f>
        <v/>
      </c>
    </row>
    <row r="148">
      <c r="A148" s="15" t="n"/>
      <c r="B148" s="16" t="n"/>
      <c r="C148" s="16" t="n"/>
      <c r="D148" s="16" t="n"/>
      <c r="E148" s="18" t="n"/>
      <c r="F148" s="19" t="n"/>
      <c r="G148" s="6">
        <f>IF(OR(A148="",E148=""),"",E148*IF(F148="",1,F148))</f>
        <v/>
      </c>
      <c r="H148">
        <f>IF(A148="","",YEAR(A148))</f>
        <v/>
      </c>
      <c r="I148">
        <f>IF(A148="","",IF(MONTH(A148)&lt;=3,1,IF(MONTH(A148)&lt;=5,2,IF(MONTH(A148)&lt;=8,3,4))))</f>
        <v/>
      </c>
      <c r="J148">
        <f>IF(A148="","",MONTH(A148))</f>
        <v/>
      </c>
    </row>
    <row r="149">
      <c r="A149" s="15" t="n"/>
      <c r="B149" s="16" t="n"/>
      <c r="C149" s="16" t="n"/>
      <c r="D149" s="16" t="n"/>
      <c r="E149" s="18" t="n"/>
      <c r="F149" s="19" t="n"/>
      <c r="G149" s="6">
        <f>IF(OR(A149="",E149=""),"",E149*IF(F149="",1,F149))</f>
        <v/>
      </c>
      <c r="H149">
        <f>IF(A149="","",YEAR(A149))</f>
        <v/>
      </c>
      <c r="I149">
        <f>IF(A149="","",IF(MONTH(A149)&lt;=3,1,IF(MONTH(A149)&lt;=5,2,IF(MONTH(A149)&lt;=8,3,4))))</f>
        <v/>
      </c>
      <c r="J149">
        <f>IF(A149="","",MONTH(A149))</f>
        <v/>
      </c>
    </row>
    <row r="150">
      <c r="A150" s="15" t="n"/>
      <c r="B150" s="16" t="n"/>
      <c r="C150" s="16" t="n"/>
      <c r="D150" s="16" t="n"/>
      <c r="E150" s="18" t="n"/>
      <c r="F150" s="19" t="n"/>
      <c r="G150" s="6">
        <f>IF(OR(A150="",E150=""),"",E150*IF(F150="",1,F150))</f>
        <v/>
      </c>
      <c r="H150">
        <f>IF(A150="","",YEAR(A150))</f>
        <v/>
      </c>
      <c r="I150">
        <f>IF(A150="","",IF(MONTH(A150)&lt;=3,1,IF(MONTH(A150)&lt;=5,2,IF(MONTH(A150)&lt;=8,3,4))))</f>
        <v/>
      </c>
      <c r="J150">
        <f>IF(A150="","",MONTH(A150))</f>
        <v/>
      </c>
    </row>
    <row r="151">
      <c r="A151" s="15" t="n"/>
      <c r="B151" s="16" t="n"/>
      <c r="C151" s="16" t="n"/>
      <c r="D151" s="16" t="n"/>
      <c r="E151" s="18" t="n"/>
      <c r="F151" s="19" t="n"/>
      <c r="G151" s="6">
        <f>IF(OR(A151="",E151=""),"",E151*IF(F151="",1,F151))</f>
        <v/>
      </c>
      <c r="H151">
        <f>IF(A151="","",YEAR(A151))</f>
        <v/>
      </c>
      <c r="I151">
        <f>IF(A151="","",IF(MONTH(A151)&lt;=3,1,IF(MONTH(A151)&lt;=5,2,IF(MONTH(A151)&lt;=8,3,4))))</f>
        <v/>
      </c>
      <c r="J151">
        <f>IF(A151="","",MONTH(A151))</f>
        <v/>
      </c>
    </row>
    <row r="152">
      <c r="A152" s="15" t="n"/>
      <c r="B152" s="16" t="n"/>
      <c r="C152" s="16" t="n"/>
      <c r="D152" s="16" t="n"/>
      <c r="E152" s="18" t="n"/>
      <c r="F152" s="19" t="n"/>
      <c r="G152" s="6">
        <f>IF(OR(A152="",E152=""),"",E152*IF(F152="",1,F152))</f>
        <v/>
      </c>
      <c r="H152">
        <f>IF(A152="","",YEAR(A152))</f>
        <v/>
      </c>
      <c r="I152">
        <f>IF(A152="","",IF(MONTH(A152)&lt;=3,1,IF(MONTH(A152)&lt;=5,2,IF(MONTH(A152)&lt;=8,3,4))))</f>
        <v/>
      </c>
      <c r="J152">
        <f>IF(A152="","",MONTH(A152))</f>
        <v/>
      </c>
    </row>
    <row r="153">
      <c r="A153" s="15" t="n"/>
      <c r="B153" s="16" t="n"/>
      <c r="C153" s="16" t="n"/>
      <c r="D153" s="16" t="n"/>
      <c r="E153" s="18" t="n"/>
      <c r="F153" s="19" t="n"/>
      <c r="G153" s="6">
        <f>IF(OR(A153="",E153=""),"",E153*IF(F153="",1,F153))</f>
        <v/>
      </c>
      <c r="H153">
        <f>IF(A153="","",YEAR(A153))</f>
        <v/>
      </c>
      <c r="I153">
        <f>IF(A153="","",IF(MONTH(A153)&lt;=3,1,IF(MONTH(A153)&lt;=5,2,IF(MONTH(A153)&lt;=8,3,4))))</f>
        <v/>
      </c>
      <c r="J153">
        <f>IF(A153="","",MONTH(A153))</f>
        <v/>
      </c>
    </row>
    <row r="154">
      <c r="A154" s="15" t="n"/>
      <c r="B154" s="16" t="n"/>
      <c r="C154" s="16" t="n"/>
      <c r="D154" s="16" t="n"/>
      <c r="E154" s="18" t="n"/>
      <c r="F154" s="19" t="n"/>
      <c r="G154" s="6">
        <f>IF(OR(A154="",E154=""),"",E154*IF(F154="",1,F154))</f>
        <v/>
      </c>
      <c r="H154">
        <f>IF(A154="","",YEAR(A154))</f>
        <v/>
      </c>
      <c r="I154">
        <f>IF(A154="","",IF(MONTH(A154)&lt;=3,1,IF(MONTH(A154)&lt;=5,2,IF(MONTH(A154)&lt;=8,3,4))))</f>
        <v/>
      </c>
      <c r="J154">
        <f>IF(A154="","",MONTH(A154))</f>
        <v/>
      </c>
    </row>
    <row r="155">
      <c r="A155" s="15" t="n"/>
      <c r="B155" s="16" t="n"/>
      <c r="C155" s="16" t="n"/>
      <c r="D155" s="16" t="n"/>
      <c r="E155" s="18" t="n"/>
      <c r="F155" s="19" t="n"/>
      <c r="G155" s="6">
        <f>IF(OR(A155="",E155=""),"",E155*IF(F155="",1,F155))</f>
        <v/>
      </c>
      <c r="H155">
        <f>IF(A155="","",YEAR(A155))</f>
        <v/>
      </c>
      <c r="I155">
        <f>IF(A155="","",IF(MONTH(A155)&lt;=3,1,IF(MONTH(A155)&lt;=5,2,IF(MONTH(A155)&lt;=8,3,4))))</f>
        <v/>
      </c>
      <c r="J155">
        <f>IF(A155="","",MONTH(A155))</f>
        <v/>
      </c>
    </row>
    <row r="156">
      <c r="A156" s="15" t="n"/>
      <c r="B156" s="16" t="n"/>
      <c r="C156" s="16" t="n"/>
      <c r="D156" s="16" t="n"/>
      <c r="E156" s="18" t="n"/>
      <c r="F156" s="19" t="n"/>
      <c r="G156" s="6">
        <f>IF(OR(A156="",E156=""),"",E156*IF(F156="",1,F156))</f>
        <v/>
      </c>
      <c r="H156">
        <f>IF(A156="","",YEAR(A156))</f>
        <v/>
      </c>
      <c r="I156">
        <f>IF(A156="","",IF(MONTH(A156)&lt;=3,1,IF(MONTH(A156)&lt;=5,2,IF(MONTH(A156)&lt;=8,3,4))))</f>
        <v/>
      </c>
      <c r="J156">
        <f>IF(A156="","",MONTH(A156))</f>
        <v/>
      </c>
    </row>
    <row r="157">
      <c r="A157" s="15" t="n"/>
      <c r="B157" s="16" t="n"/>
      <c r="C157" s="16" t="n"/>
      <c r="D157" s="16" t="n"/>
      <c r="E157" s="18" t="n"/>
      <c r="F157" s="19" t="n"/>
      <c r="G157" s="6">
        <f>IF(OR(A157="",E157=""),"",E157*IF(F157="",1,F157))</f>
        <v/>
      </c>
      <c r="H157">
        <f>IF(A157="","",YEAR(A157))</f>
        <v/>
      </c>
      <c r="I157">
        <f>IF(A157="","",IF(MONTH(A157)&lt;=3,1,IF(MONTH(A157)&lt;=5,2,IF(MONTH(A157)&lt;=8,3,4))))</f>
        <v/>
      </c>
      <c r="J157">
        <f>IF(A157="","",MONTH(A157))</f>
        <v/>
      </c>
    </row>
    <row r="158">
      <c r="A158" s="15" t="n"/>
      <c r="B158" s="16" t="n"/>
      <c r="C158" s="16" t="n"/>
      <c r="D158" s="16" t="n"/>
      <c r="E158" s="18" t="n"/>
      <c r="F158" s="19" t="n"/>
      <c r="G158" s="6">
        <f>IF(OR(A158="",E158=""),"",E158*IF(F158="",1,F158))</f>
        <v/>
      </c>
      <c r="H158">
        <f>IF(A158="","",YEAR(A158))</f>
        <v/>
      </c>
      <c r="I158">
        <f>IF(A158="","",IF(MONTH(A158)&lt;=3,1,IF(MONTH(A158)&lt;=5,2,IF(MONTH(A158)&lt;=8,3,4))))</f>
        <v/>
      </c>
      <c r="J158">
        <f>IF(A158="","",MONTH(A158))</f>
        <v/>
      </c>
    </row>
    <row r="159">
      <c r="A159" s="15" t="n"/>
      <c r="B159" s="16" t="n"/>
      <c r="C159" s="16" t="n"/>
      <c r="D159" s="16" t="n"/>
      <c r="E159" s="18" t="n"/>
      <c r="F159" s="19" t="n"/>
      <c r="G159" s="6">
        <f>IF(OR(A159="",E159=""),"",E159*IF(F159="",1,F159))</f>
        <v/>
      </c>
      <c r="H159">
        <f>IF(A159="","",YEAR(A159))</f>
        <v/>
      </c>
      <c r="I159">
        <f>IF(A159="","",IF(MONTH(A159)&lt;=3,1,IF(MONTH(A159)&lt;=5,2,IF(MONTH(A159)&lt;=8,3,4))))</f>
        <v/>
      </c>
      <c r="J159">
        <f>IF(A159="","",MONTH(A159))</f>
        <v/>
      </c>
    </row>
    <row r="160">
      <c r="A160" s="15" t="n"/>
      <c r="B160" s="16" t="n"/>
      <c r="C160" s="16" t="n"/>
      <c r="D160" s="16" t="n"/>
      <c r="E160" s="18" t="n"/>
      <c r="F160" s="19" t="n"/>
      <c r="G160" s="6">
        <f>IF(OR(A160="",E160=""),"",E160*IF(F160="",1,F160))</f>
        <v/>
      </c>
      <c r="H160">
        <f>IF(A160="","",YEAR(A160))</f>
        <v/>
      </c>
      <c r="I160">
        <f>IF(A160="","",IF(MONTH(A160)&lt;=3,1,IF(MONTH(A160)&lt;=5,2,IF(MONTH(A160)&lt;=8,3,4))))</f>
        <v/>
      </c>
      <c r="J160">
        <f>IF(A160="","",MONTH(A160))</f>
        <v/>
      </c>
    </row>
    <row r="161">
      <c r="A161" s="15" t="n"/>
      <c r="B161" s="16" t="n"/>
      <c r="C161" s="16" t="n"/>
      <c r="D161" s="16" t="n"/>
      <c r="E161" s="18" t="n"/>
      <c r="F161" s="19" t="n"/>
      <c r="G161" s="6">
        <f>IF(OR(A161="",E161=""),"",E161*IF(F161="",1,F161))</f>
        <v/>
      </c>
      <c r="H161">
        <f>IF(A161="","",YEAR(A161))</f>
        <v/>
      </c>
      <c r="I161">
        <f>IF(A161="","",IF(MONTH(A161)&lt;=3,1,IF(MONTH(A161)&lt;=5,2,IF(MONTH(A161)&lt;=8,3,4))))</f>
        <v/>
      </c>
      <c r="J161">
        <f>IF(A161="","",MONTH(A161))</f>
        <v/>
      </c>
    </row>
    <row r="162">
      <c r="A162" s="15" t="n"/>
      <c r="B162" s="16" t="n"/>
      <c r="C162" s="16" t="n"/>
      <c r="D162" s="16" t="n"/>
      <c r="E162" s="18" t="n"/>
      <c r="F162" s="19" t="n"/>
      <c r="G162" s="6">
        <f>IF(OR(A162="",E162=""),"",E162*IF(F162="",1,F162))</f>
        <v/>
      </c>
      <c r="H162">
        <f>IF(A162="","",YEAR(A162))</f>
        <v/>
      </c>
      <c r="I162">
        <f>IF(A162="","",IF(MONTH(A162)&lt;=3,1,IF(MONTH(A162)&lt;=5,2,IF(MONTH(A162)&lt;=8,3,4))))</f>
        <v/>
      </c>
      <c r="J162">
        <f>IF(A162="","",MONTH(A162))</f>
        <v/>
      </c>
    </row>
    <row r="163">
      <c r="A163" s="15" t="n"/>
      <c r="B163" s="16" t="n"/>
      <c r="C163" s="16" t="n"/>
      <c r="D163" s="16" t="n"/>
      <c r="E163" s="18" t="n"/>
      <c r="F163" s="19" t="n"/>
      <c r="G163" s="6">
        <f>IF(OR(A163="",E163=""),"",E163*IF(F163="",1,F163))</f>
        <v/>
      </c>
      <c r="H163">
        <f>IF(A163="","",YEAR(A163))</f>
        <v/>
      </c>
      <c r="I163">
        <f>IF(A163="","",IF(MONTH(A163)&lt;=3,1,IF(MONTH(A163)&lt;=5,2,IF(MONTH(A163)&lt;=8,3,4))))</f>
        <v/>
      </c>
      <c r="J163">
        <f>IF(A163="","",MONTH(A163))</f>
        <v/>
      </c>
    </row>
    <row r="164">
      <c r="A164" s="15" t="n"/>
      <c r="B164" s="16" t="n"/>
      <c r="C164" s="16" t="n"/>
      <c r="D164" s="16" t="n"/>
      <c r="E164" s="18" t="n"/>
      <c r="F164" s="19" t="n"/>
      <c r="G164" s="6">
        <f>IF(OR(A164="",E164=""),"",E164*IF(F164="",1,F164))</f>
        <v/>
      </c>
      <c r="H164">
        <f>IF(A164="","",YEAR(A164))</f>
        <v/>
      </c>
      <c r="I164">
        <f>IF(A164="","",IF(MONTH(A164)&lt;=3,1,IF(MONTH(A164)&lt;=5,2,IF(MONTH(A164)&lt;=8,3,4))))</f>
        <v/>
      </c>
      <c r="J164">
        <f>IF(A164="","",MONTH(A164))</f>
        <v/>
      </c>
    </row>
    <row r="165">
      <c r="A165" s="15" t="n"/>
      <c r="B165" s="16" t="n"/>
      <c r="C165" s="16" t="n"/>
      <c r="D165" s="16" t="n"/>
      <c r="E165" s="18" t="n"/>
      <c r="F165" s="19" t="n"/>
      <c r="G165" s="6">
        <f>IF(OR(A165="",E165=""),"",E165*IF(F165="",1,F165))</f>
        <v/>
      </c>
      <c r="H165">
        <f>IF(A165="","",YEAR(A165))</f>
        <v/>
      </c>
      <c r="I165">
        <f>IF(A165="","",IF(MONTH(A165)&lt;=3,1,IF(MONTH(A165)&lt;=5,2,IF(MONTH(A165)&lt;=8,3,4))))</f>
        <v/>
      </c>
      <c r="J165">
        <f>IF(A165="","",MONTH(A165))</f>
        <v/>
      </c>
    </row>
    <row r="166">
      <c r="A166" s="15" t="n"/>
      <c r="B166" s="16" t="n"/>
      <c r="C166" s="16" t="n"/>
      <c r="D166" s="16" t="n"/>
      <c r="E166" s="18" t="n"/>
      <c r="F166" s="19" t="n"/>
      <c r="G166" s="6">
        <f>IF(OR(A166="",E166=""),"",E166*IF(F166="",1,F166))</f>
        <v/>
      </c>
      <c r="H166">
        <f>IF(A166="","",YEAR(A166))</f>
        <v/>
      </c>
      <c r="I166">
        <f>IF(A166="","",IF(MONTH(A166)&lt;=3,1,IF(MONTH(A166)&lt;=5,2,IF(MONTH(A166)&lt;=8,3,4))))</f>
        <v/>
      </c>
      <c r="J166">
        <f>IF(A166="","",MONTH(A166))</f>
        <v/>
      </c>
    </row>
    <row r="167">
      <c r="A167" s="15" t="n"/>
      <c r="B167" s="16" t="n"/>
      <c r="C167" s="16" t="n"/>
      <c r="D167" s="16" t="n"/>
      <c r="E167" s="18" t="n"/>
      <c r="F167" s="19" t="n"/>
      <c r="G167" s="6">
        <f>IF(OR(A167="",E167=""),"",E167*IF(F167="",1,F167))</f>
        <v/>
      </c>
      <c r="H167">
        <f>IF(A167="","",YEAR(A167))</f>
        <v/>
      </c>
      <c r="I167">
        <f>IF(A167="","",IF(MONTH(A167)&lt;=3,1,IF(MONTH(A167)&lt;=5,2,IF(MONTH(A167)&lt;=8,3,4))))</f>
        <v/>
      </c>
      <c r="J167">
        <f>IF(A167="","",MONTH(A167))</f>
        <v/>
      </c>
    </row>
    <row r="168">
      <c r="A168" s="15" t="n"/>
      <c r="B168" s="16" t="n"/>
      <c r="C168" s="16" t="n"/>
      <c r="D168" s="16" t="n"/>
      <c r="E168" s="18" t="n"/>
      <c r="F168" s="19" t="n"/>
      <c r="G168" s="6">
        <f>IF(OR(A168="",E168=""),"",E168*IF(F168="",1,F168))</f>
        <v/>
      </c>
      <c r="H168">
        <f>IF(A168="","",YEAR(A168))</f>
        <v/>
      </c>
      <c r="I168">
        <f>IF(A168="","",IF(MONTH(A168)&lt;=3,1,IF(MONTH(A168)&lt;=5,2,IF(MONTH(A168)&lt;=8,3,4))))</f>
        <v/>
      </c>
      <c r="J168">
        <f>IF(A168="","",MONTH(A168))</f>
        <v/>
      </c>
    </row>
    <row r="169">
      <c r="A169" s="15" t="n"/>
      <c r="B169" s="16" t="n"/>
      <c r="C169" s="16" t="n"/>
      <c r="D169" s="16" t="n"/>
      <c r="E169" s="18" t="n"/>
      <c r="F169" s="19" t="n"/>
      <c r="G169" s="6">
        <f>IF(OR(A169="",E169=""),"",E169*IF(F169="",1,F169))</f>
        <v/>
      </c>
      <c r="H169">
        <f>IF(A169="","",YEAR(A169))</f>
        <v/>
      </c>
      <c r="I169">
        <f>IF(A169="","",IF(MONTH(A169)&lt;=3,1,IF(MONTH(A169)&lt;=5,2,IF(MONTH(A169)&lt;=8,3,4))))</f>
        <v/>
      </c>
      <c r="J169">
        <f>IF(A169="","",MONTH(A169))</f>
        <v/>
      </c>
    </row>
    <row r="170">
      <c r="A170" s="15" t="n"/>
      <c r="B170" s="16" t="n"/>
      <c r="C170" s="16" t="n"/>
      <c r="D170" s="16" t="n"/>
      <c r="E170" s="18" t="n"/>
      <c r="F170" s="19" t="n"/>
      <c r="G170" s="6">
        <f>IF(OR(A170="",E170=""),"",E170*IF(F170="",1,F170))</f>
        <v/>
      </c>
      <c r="H170">
        <f>IF(A170="","",YEAR(A170))</f>
        <v/>
      </c>
      <c r="I170">
        <f>IF(A170="","",IF(MONTH(A170)&lt;=3,1,IF(MONTH(A170)&lt;=5,2,IF(MONTH(A170)&lt;=8,3,4))))</f>
        <v/>
      </c>
      <c r="J170">
        <f>IF(A170="","",MONTH(A170))</f>
        <v/>
      </c>
    </row>
    <row r="171">
      <c r="A171" s="15" t="n"/>
      <c r="B171" s="16" t="n"/>
      <c r="C171" s="16" t="n"/>
      <c r="D171" s="16" t="n"/>
      <c r="E171" s="18" t="n"/>
      <c r="F171" s="19" t="n"/>
      <c r="G171" s="6">
        <f>IF(OR(A171="",E171=""),"",E171*IF(F171="",1,F171))</f>
        <v/>
      </c>
      <c r="H171">
        <f>IF(A171="","",YEAR(A171))</f>
        <v/>
      </c>
      <c r="I171">
        <f>IF(A171="","",IF(MONTH(A171)&lt;=3,1,IF(MONTH(A171)&lt;=5,2,IF(MONTH(A171)&lt;=8,3,4))))</f>
        <v/>
      </c>
      <c r="J171">
        <f>IF(A171="","",MONTH(A171))</f>
        <v/>
      </c>
    </row>
    <row r="172">
      <c r="A172" s="15" t="n"/>
      <c r="B172" s="16" t="n"/>
      <c r="C172" s="16" t="n"/>
      <c r="D172" s="16" t="n"/>
      <c r="E172" s="18" t="n"/>
      <c r="F172" s="19" t="n"/>
      <c r="G172" s="6">
        <f>IF(OR(A172="",E172=""),"",E172*IF(F172="",1,F172))</f>
        <v/>
      </c>
      <c r="H172">
        <f>IF(A172="","",YEAR(A172))</f>
        <v/>
      </c>
      <c r="I172">
        <f>IF(A172="","",IF(MONTH(A172)&lt;=3,1,IF(MONTH(A172)&lt;=5,2,IF(MONTH(A172)&lt;=8,3,4))))</f>
        <v/>
      </c>
      <c r="J172">
        <f>IF(A172="","",MONTH(A172))</f>
        <v/>
      </c>
    </row>
    <row r="173">
      <c r="A173" s="15" t="n"/>
      <c r="B173" s="16" t="n"/>
      <c r="C173" s="16" t="n"/>
      <c r="D173" s="16" t="n"/>
      <c r="E173" s="18" t="n"/>
      <c r="F173" s="19" t="n"/>
      <c r="G173" s="6">
        <f>IF(OR(A173="",E173=""),"",E173*IF(F173="",1,F173))</f>
        <v/>
      </c>
      <c r="H173">
        <f>IF(A173="","",YEAR(A173))</f>
        <v/>
      </c>
      <c r="I173">
        <f>IF(A173="","",IF(MONTH(A173)&lt;=3,1,IF(MONTH(A173)&lt;=5,2,IF(MONTH(A173)&lt;=8,3,4))))</f>
        <v/>
      </c>
      <c r="J173">
        <f>IF(A173="","",MONTH(A173))</f>
        <v/>
      </c>
    </row>
    <row r="174">
      <c r="A174" s="15" t="n"/>
      <c r="B174" s="16" t="n"/>
      <c r="C174" s="16" t="n"/>
      <c r="D174" s="16" t="n"/>
      <c r="E174" s="18" t="n"/>
      <c r="F174" s="19" t="n"/>
      <c r="G174" s="6">
        <f>IF(OR(A174="",E174=""),"",E174*IF(F174="",1,F174))</f>
        <v/>
      </c>
      <c r="H174">
        <f>IF(A174="","",YEAR(A174))</f>
        <v/>
      </c>
      <c r="I174">
        <f>IF(A174="","",IF(MONTH(A174)&lt;=3,1,IF(MONTH(A174)&lt;=5,2,IF(MONTH(A174)&lt;=8,3,4))))</f>
        <v/>
      </c>
      <c r="J174">
        <f>IF(A174="","",MONTH(A174))</f>
        <v/>
      </c>
    </row>
    <row r="175">
      <c r="A175" s="15" t="n"/>
      <c r="B175" s="16" t="n"/>
      <c r="C175" s="16" t="n"/>
      <c r="D175" s="16" t="n"/>
      <c r="E175" s="18" t="n"/>
      <c r="F175" s="19" t="n"/>
      <c r="G175" s="6">
        <f>IF(OR(A175="",E175=""),"",E175*IF(F175="",1,F175))</f>
        <v/>
      </c>
      <c r="H175">
        <f>IF(A175="","",YEAR(A175))</f>
        <v/>
      </c>
      <c r="I175">
        <f>IF(A175="","",IF(MONTH(A175)&lt;=3,1,IF(MONTH(A175)&lt;=5,2,IF(MONTH(A175)&lt;=8,3,4))))</f>
        <v/>
      </c>
      <c r="J175">
        <f>IF(A175="","",MONTH(A175))</f>
        <v/>
      </c>
    </row>
    <row r="176">
      <c r="A176" s="15" t="n"/>
      <c r="B176" s="16" t="n"/>
      <c r="C176" s="16" t="n"/>
      <c r="D176" s="16" t="n"/>
      <c r="E176" s="18" t="n"/>
      <c r="F176" s="19" t="n"/>
      <c r="G176" s="6">
        <f>IF(OR(A176="",E176=""),"",E176*IF(F176="",1,F176))</f>
        <v/>
      </c>
      <c r="H176">
        <f>IF(A176="","",YEAR(A176))</f>
        <v/>
      </c>
      <c r="I176">
        <f>IF(A176="","",IF(MONTH(A176)&lt;=3,1,IF(MONTH(A176)&lt;=5,2,IF(MONTH(A176)&lt;=8,3,4))))</f>
        <v/>
      </c>
      <c r="J176">
        <f>IF(A176="","",MONTH(A176))</f>
        <v/>
      </c>
    </row>
    <row r="177">
      <c r="A177" s="15" t="n"/>
      <c r="B177" s="16" t="n"/>
      <c r="C177" s="16" t="n"/>
      <c r="D177" s="16" t="n"/>
      <c r="E177" s="18" t="n"/>
      <c r="F177" s="19" t="n"/>
      <c r="G177" s="6">
        <f>IF(OR(A177="",E177=""),"",E177*IF(F177="",1,F177))</f>
        <v/>
      </c>
      <c r="H177">
        <f>IF(A177="","",YEAR(A177))</f>
        <v/>
      </c>
      <c r="I177">
        <f>IF(A177="","",IF(MONTH(A177)&lt;=3,1,IF(MONTH(A177)&lt;=5,2,IF(MONTH(A177)&lt;=8,3,4))))</f>
        <v/>
      </c>
      <c r="J177">
        <f>IF(A177="","",MONTH(A177))</f>
        <v/>
      </c>
    </row>
    <row r="178">
      <c r="A178" s="15" t="n"/>
      <c r="B178" s="16" t="n"/>
      <c r="C178" s="16" t="n"/>
      <c r="D178" s="16" t="n"/>
      <c r="E178" s="18" t="n"/>
      <c r="F178" s="19" t="n"/>
      <c r="G178" s="6">
        <f>IF(OR(A178="",E178=""),"",E178*IF(F178="",1,F178))</f>
        <v/>
      </c>
      <c r="H178">
        <f>IF(A178="","",YEAR(A178))</f>
        <v/>
      </c>
      <c r="I178">
        <f>IF(A178="","",IF(MONTH(A178)&lt;=3,1,IF(MONTH(A178)&lt;=5,2,IF(MONTH(A178)&lt;=8,3,4))))</f>
        <v/>
      </c>
      <c r="J178">
        <f>IF(A178="","",MONTH(A178))</f>
        <v/>
      </c>
    </row>
    <row r="179">
      <c r="A179" s="15" t="n"/>
      <c r="B179" s="16" t="n"/>
      <c r="C179" s="16" t="n"/>
      <c r="D179" s="16" t="n"/>
      <c r="E179" s="18" t="n"/>
      <c r="F179" s="19" t="n"/>
      <c r="G179" s="6">
        <f>IF(OR(A179="",E179=""),"",E179*IF(F179="",1,F179))</f>
        <v/>
      </c>
      <c r="H179">
        <f>IF(A179="","",YEAR(A179))</f>
        <v/>
      </c>
      <c r="I179">
        <f>IF(A179="","",IF(MONTH(A179)&lt;=3,1,IF(MONTH(A179)&lt;=5,2,IF(MONTH(A179)&lt;=8,3,4))))</f>
        <v/>
      </c>
      <c r="J179">
        <f>IF(A179="","",MONTH(A179))</f>
        <v/>
      </c>
    </row>
    <row r="180">
      <c r="A180" s="15" t="n"/>
      <c r="B180" s="16" t="n"/>
      <c r="C180" s="16" t="n"/>
      <c r="D180" s="16" t="n"/>
      <c r="E180" s="18" t="n"/>
      <c r="F180" s="19" t="n"/>
      <c r="G180" s="6">
        <f>IF(OR(A180="",E180=""),"",E180*IF(F180="",1,F180))</f>
        <v/>
      </c>
      <c r="H180">
        <f>IF(A180="","",YEAR(A180))</f>
        <v/>
      </c>
      <c r="I180">
        <f>IF(A180="","",IF(MONTH(A180)&lt;=3,1,IF(MONTH(A180)&lt;=5,2,IF(MONTH(A180)&lt;=8,3,4))))</f>
        <v/>
      </c>
      <c r="J180">
        <f>IF(A180="","",MONTH(A180))</f>
        <v/>
      </c>
    </row>
    <row r="181">
      <c r="A181" s="15" t="n"/>
      <c r="B181" s="16" t="n"/>
      <c r="C181" s="16" t="n"/>
      <c r="D181" s="16" t="n"/>
      <c r="E181" s="18" t="n"/>
      <c r="F181" s="19" t="n"/>
      <c r="G181" s="6">
        <f>IF(OR(A181="",E181=""),"",E181*IF(F181="",1,F181))</f>
        <v/>
      </c>
      <c r="H181">
        <f>IF(A181="","",YEAR(A181))</f>
        <v/>
      </c>
      <c r="I181">
        <f>IF(A181="","",IF(MONTH(A181)&lt;=3,1,IF(MONTH(A181)&lt;=5,2,IF(MONTH(A181)&lt;=8,3,4))))</f>
        <v/>
      </c>
      <c r="J181">
        <f>IF(A181="","",MONTH(A181))</f>
        <v/>
      </c>
    </row>
    <row r="182">
      <c r="A182" s="15" t="n"/>
      <c r="B182" s="16" t="n"/>
      <c r="C182" s="16" t="n"/>
      <c r="D182" s="16" t="n"/>
      <c r="E182" s="18" t="n"/>
      <c r="F182" s="19" t="n"/>
      <c r="G182" s="6">
        <f>IF(OR(A182="",E182=""),"",E182*IF(F182="",1,F182))</f>
        <v/>
      </c>
      <c r="H182">
        <f>IF(A182="","",YEAR(A182))</f>
        <v/>
      </c>
      <c r="I182">
        <f>IF(A182="","",IF(MONTH(A182)&lt;=3,1,IF(MONTH(A182)&lt;=5,2,IF(MONTH(A182)&lt;=8,3,4))))</f>
        <v/>
      </c>
      <c r="J182">
        <f>IF(A182="","",MONTH(A182))</f>
        <v/>
      </c>
    </row>
    <row r="183">
      <c r="A183" s="15" t="n"/>
      <c r="B183" s="16" t="n"/>
      <c r="C183" s="16" t="n"/>
      <c r="D183" s="16" t="n"/>
      <c r="E183" s="18" t="n"/>
      <c r="F183" s="19" t="n"/>
      <c r="G183" s="6">
        <f>IF(OR(A183="",E183=""),"",E183*IF(F183="",1,F183))</f>
        <v/>
      </c>
      <c r="H183">
        <f>IF(A183="","",YEAR(A183))</f>
        <v/>
      </c>
      <c r="I183">
        <f>IF(A183="","",IF(MONTH(A183)&lt;=3,1,IF(MONTH(A183)&lt;=5,2,IF(MONTH(A183)&lt;=8,3,4))))</f>
        <v/>
      </c>
      <c r="J183">
        <f>IF(A183="","",MONTH(A183))</f>
        <v/>
      </c>
    </row>
    <row r="184">
      <c r="A184" s="15" t="n"/>
      <c r="B184" s="16" t="n"/>
      <c r="C184" s="16" t="n"/>
      <c r="D184" s="16" t="n"/>
      <c r="E184" s="18" t="n"/>
      <c r="F184" s="19" t="n"/>
      <c r="G184" s="6">
        <f>IF(OR(A184="",E184=""),"",E184*IF(F184="",1,F184))</f>
        <v/>
      </c>
      <c r="H184">
        <f>IF(A184="","",YEAR(A184))</f>
        <v/>
      </c>
      <c r="I184">
        <f>IF(A184="","",IF(MONTH(A184)&lt;=3,1,IF(MONTH(A184)&lt;=5,2,IF(MONTH(A184)&lt;=8,3,4))))</f>
        <v/>
      </c>
      <c r="J184">
        <f>IF(A184="","",MONTH(A184))</f>
        <v/>
      </c>
    </row>
    <row r="185">
      <c r="A185" s="15" t="n"/>
      <c r="B185" s="16" t="n"/>
      <c r="C185" s="16" t="n"/>
      <c r="D185" s="16" t="n"/>
      <c r="E185" s="18" t="n"/>
      <c r="F185" s="19" t="n"/>
      <c r="G185" s="6">
        <f>IF(OR(A185="",E185=""),"",E185*IF(F185="",1,F185))</f>
        <v/>
      </c>
      <c r="H185">
        <f>IF(A185="","",YEAR(A185))</f>
        <v/>
      </c>
      <c r="I185">
        <f>IF(A185="","",IF(MONTH(A185)&lt;=3,1,IF(MONTH(A185)&lt;=5,2,IF(MONTH(A185)&lt;=8,3,4))))</f>
        <v/>
      </c>
      <c r="J185">
        <f>IF(A185="","",MONTH(A185))</f>
        <v/>
      </c>
    </row>
    <row r="186">
      <c r="A186" s="15" t="n"/>
      <c r="B186" s="16" t="n"/>
      <c r="C186" s="16" t="n"/>
      <c r="D186" s="16" t="n"/>
      <c r="E186" s="18" t="n"/>
      <c r="F186" s="19" t="n"/>
      <c r="G186" s="6">
        <f>IF(OR(A186="",E186=""),"",E186*IF(F186="",1,F186))</f>
        <v/>
      </c>
      <c r="H186">
        <f>IF(A186="","",YEAR(A186))</f>
        <v/>
      </c>
      <c r="I186">
        <f>IF(A186="","",IF(MONTH(A186)&lt;=3,1,IF(MONTH(A186)&lt;=5,2,IF(MONTH(A186)&lt;=8,3,4))))</f>
        <v/>
      </c>
      <c r="J186">
        <f>IF(A186="","",MONTH(A186))</f>
        <v/>
      </c>
    </row>
    <row r="187">
      <c r="A187" s="15" t="n"/>
      <c r="B187" s="16" t="n"/>
      <c r="C187" s="16" t="n"/>
      <c r="D187" s="16" t="n"/>
      <c r="E187" s="18" t="n"/>
      <c r="F187" s="19" t="n"/>
      <c r="G187" s="6">
        <f>IF(OR(A187="",E187=""),"",E187*IF(F187="",1,F187))</f>
        <v/>
      </c>
      <c r="H187">
        <f>IF(A187="","",YEAR(A187))</f>
        <v/>
      </c>
      <c r="I187">
        <f>IF(A187="","",IF(MONTH(A187)&lt;=3,1,IF(MONTH(A187)&lt;=5,2,IF(MONTH(A187)&lt;=8,3,4))))</f>
        <v/>
      </c>
      <c r="J187">
        <f>IF(A187="","",MONTH(A187))</f>
        <v/>
      </c>
    </row>
    <row r="188">
      <c r="A188" s="15" t="n"/>
      <c r="B188" s="16" t="n"/>
      <c r="C188" s="16" t="n"/>
      <c r="D188" s="16" t="n"/>
      <c r="E188" s="18" t="n"/>
      <c r="F188" s="19" t="n"/>
      <c r="G188" s="6">
        <f>IF(OR(A188="",E188=""),"",E188*IF(F188="",1,F188))</f>
        <v/>
      </c>
      <c r="H188">
        <f>IF(A188="","",YEAR(A188))</f>
        <v/>
      </c>
      <c r="I188">
        <f>IF(A188="","",IF(MONTH(A188)&lt;=3,1,IF(MONTH(A188)&lt;=5,2,IF(MONTH(A188)&lt;=8,3,4))))</f>
        <v/>
      </c>
      <c r="J188">
        <f>IF(A188="","",MONTH(A188))</f>
        <v/>
      </c>
    </row>
    <row r="189">
      <c r="A189" s="15" t="n"/>
      <c r="B189" s="16" t="n"/>
      <c r="C189" s="16" t="n"/>
      <c r="D189" s="16" t="n"/>
      <c r="E189" s="18" t="n"/>
      <c r="F189" s="19" t="n"/>
      <c r="G189" s="6">
        <f>IF(OR(A189="",E189=""),"",E189*IF(F189="",1,F189))</f>
        <v/>
      </c>
      <c r="H189">
        <f>IF(A189="","",YEAR(A189))</f>
        <v/>
      </c>
      <c r="I189">
        <f>IF(A189="","",IF(MONTH(A189)&lt;=3,1,IF(MONTH(A189)&lt;=5,2,IF(MONTH(A189)&lt;=8,3,4))))</f>
        <v/>
      </c>
      <c r="J189">
        <f>IF(A189="","",MONTH(A189))</f>
        <v/>
      </c>
    </row>
    <row r="190">
      <c r="A190" s="15" t="n"/>
      <c r="B190" s="16" t="n"/>
      <c r="C190" s="16" t="n"/>
      <c r="D190" s="16" t="n"/>
      <c r="E190" s="18" t="n"/>
      <c r="F190" s="19" t="n"/>
      <c r="G190" s="6">
        <f>IF(OR(A190="",E190=""),"",E190*IF(F190="",1,F190))</f>
        <v/>
      </c>
      <c r="H190">
        <f>IF(A190="","",YEAR(A190))</f>
        <v/>
      </c>
      <c r="I190">
        <f>IF(A190="","",IF(MONTH(A190)&lt;=3,1,IF(MONTH(A190)&lt;=5,2,IF(MONTH(A190)&lt;=8,3,4))))</f>
        <v/>
      </c>
      <c r="J190">
        <f>IF(A190="","",MONTH(A190))</f>
        <v/>
      </c>
    </row>
    <row r="191">
      <c r="A191" s="15" t="n"/>
      <c r="B191" s="16" t="n"/>
      <c r="C191" s="16" t="n"/>
      <c r="D191" s="16" t="n"/>
      <c r="E191" s="18" t="n"/>
      <c r="F191" s="19" t="n"/>
      <c r="G191" s="6">
        <f>IF(OR(A191="",E191=""),"",E191*IF(F191="",1,F191))</f>
        <v/>
      </c>
      <c r="H191">
        <f>IF(A191="","",YEAR(A191))</f>
        <v/>
      </c>
      <c r="I191">
        <f>IF(A191="","",IF(MONTH(A191)&lt;=3,1,IF(MONTH(A191)&lt;=5,2,IF(MONTH(A191)&lt;=8,3,4))))</f>
        <v/>
      </c>
      <c r="J191">
        <f>IF(A191="","",MONTH(A191))</f>
        <v/>
      </c>
    </row>
    <row r="192">
      <c r="A192" s="15" t="n"/>
      <c r="B192" s="16" t="n"/>
      <c r="C192" s="16" t="n"/>
      <c r="D192" s="16" t="n"/>
      <c r="E192" s="18" t="n"/>
      <c r="F192" s="19" t="n"/>
      <c r="G192" s="6">
        <f>IF(OR(A192="",E192=""),"",E192*IF(F192="",1,F192))</f>
        <v/>
      </c>
      <c r="H192">
        <f>IF(A192="","",YEAR(A192))</f>
        <v/>
      </c>
      <c r="I192">
        <f>IF(A192="","",IF(MONTH(A192)&lt;=3,1,IF(MONTH(A192)&lt;=5,2,IF(MONTH(A192)&lt;=8,3,4))))</f>
        <v/>
      </c>
      <c r="J192">
        <f>IF(A192="","",MONTH(A192))</f>
        <v/>
      </c>
    </row>
    <row r="193">
      <c r="A193" s="15" t="n"/>
      <c r="B193" s="16" t="n"/>
      <c r="C193" s="16" t="n"/>
      <c r="D193" s="16" t="n"/>
      <c r="E193" s="18" t="n"/>
      <c r="F193" s="19" t="n"/>
      <c r="G193" s="6">
        <f>IF(OR(A193="",E193=""),"",E193*IF(F193="",1,F193))</f>
        <v/>
      </c>
      <c r="H193">
        <f>IF(A193="","",YEAR(A193))</f>
        <v/>
      </c>
      <c r="I193">
        <f>IF(A193="","",IF(MONTH(A193)&lt;=3,1,IF(MONTH(A193)&lt;=5,2,IF(MONTH(A193)&lt;=8,3,4))))</f>
        <v/>
      </c>
      <c r="J193">
        <f>IF(A193="","",MONTH(A193))</f>
        <v/>
      </c>
    </row>
    <row r="194">
      <c r="A194" s="15" t="n"/>
      <c r="B194" s="16" t="n"/>
      <c r="C194" s="16" t="n"/>
      <c r="D194" s="16" t="n"/>
      <c r="E194" s="18" t="n"/>
      <c r="F194" s="19" t="n"/>
      <c r="G194" s="6">
        <f>IF(OR(A194="",E194=""),"",E194*IF(F194="",1,F194))</f>
        <v/>
      </c>
      <c r="H194">
        <f>IF(A194="","",YEAR(A194))</f>
        <v/>
      </c>
      <c r="I194">
        <f>IF(A194="","",IF(MONTH(A194)&lt;=3,1,IF(MONTH(A194)&lt;=5,2,IF(MONTH(A194)&lt;=8,3,4))))</f>
        <v/>
      </c>
      <c r="J194">
        <f>IF(A194="","",MONTH(A194))</f>
        <v/>
      </c>
    </row>
    <row r="195">
      <c r="A195" s="15" t="n"/>
      <c r="B195" s="16" t="n"/>
      <c r="C195" s="16" t="n"/>
      <c r="D195" s="16" t="n"/>
      <c r="E195" s="18" t="n"/>
      <c r="F195" s="19" t="n"/>
      <c r="G195" s="6">
        <f>IF(OR(A195="",E195=""),"",E195*IF(F195="",1,F195))</f>
        <v/>
      </c>
      <c r="H195">
        <f>IF(A195="","",YEAR(A195))</f>
        <v/>
      </c>
      <c r="I195">
        <f>IF(A195="","",IF(MONTH(A195)&lt;=3,1,IF(MONTH(A195)&lt;=5,2,IF(MONTH(A195)&lt;=8,3,4))))</f>
        <v/>
      </c>
      <c r="J195">
        <f>IF(A195="","",MONTH(A195))</f>
        <v/>
      </c>
    </row>
    <row r="196">
      <c r="A196" s="15" t="n"/>
      <c r="B196" s="16" t="n"/>
      <c r="C196" s="16" t="n"/>
      <c r="D196" s="16" t="n"/>
      <c r="E196" s="18" t="n"/>
      <c r="F196" s="19" t="n"/>
      <c r="G196" s="6">
        <f>IF(OR(A196="",E196=""),"",E196*IF(F196="",1,F196))</f>
        <v/>
      </c>
      <c r="H196">
        <f>IF(A196="","",YEAR(A196))</f>
        <v/>
      </c>
      <c r="I196">
        <f>IF(A196="","",IF(MONTH(A196)&lt;=3,1,IF(MONTH(A196)&lt;=5,2,IF(MONTH(A196)&lt;=8,3,4))))</f>
        <v/>
      </c>
      <c r="J196">
        <f>IF(A196="","",MONTH(A196))</f>
        <v/>
      </c>
    </row>
    <row r="197">
      <c r="A197" s="15" t="n"/>
      <c r="B197" s="16" t="n"/>
      <c r="C197" s="16" t="n"/>
      <c r="D197" s="16" t="n"/>
      <c r="E197" s="18" t="n"/>
      <c r="F197" s="19" t="n"/>
      <c r="G197" s="6">
        <f>IF(OR(A197="",E197=""),"",E197*IF(F197="",1,F197))</f>
        <v/>
      </c>
      <c r="H197">
        <f>IF(A197="","",YEAR(A197))</f>
        <v/>
      </c>
      <c r="I197">
        <f>IF(A197="","",IF(MONTH(A197)&lt;=3,1,IF(MONTH(A197)&lt;=5,2,IF(MONTH(A197)&lt;=8,3,4))))</f>
        <v/>
      </c>
      <c r="J197">
        <f>IF(A197="","",MONTH(A197))</f>
        <v/>
      </c>
    </row>
    <row r="198">
      <c r="A198" s="15" t="n"/>
      <c r="B198" s="16" t="n"/>
      <c r="C198" s="16" t="n"/>
      <c r="D198" s="16" t="n"/>
      <c r="E198" s="18" t="n"/>
      <c r="F198" s="19" t="n"/>
      <c r="G198" s="6">
        <f>IF(OR(A198="",E198=""),"",E198*IF(F198="",1,F198))</f>
        <v/>
      </c>
      <c r="H198">
        <f>IF(A198="","",YEAR(A198))</f>
        <v/>
      </c>
      <c r="I198">
        <f>IF(A198="","",IF(MONTH(A198)&lt;=3,1,IF(MONTH(A198)&lt;=5,2,IF(MONTH(A198)&lt;=8,3,4))))</f>
        <v/>
      </c>
      <c r="J198">
        <f>IF(A198="","",MONTH(A198))</f>
        <v/>
      </c>
    </row>
    <row r="199">
      <c r="A199" s="15" t="n"/>
      <c r="B199" s="16" t="n"/>
      <c r="C199" s="16" t="n"/>
      <c r="D199" s="16" t="n"/>
      <c r="E199" s="18" t="n"/>
      <c r="F199" s="19" t="n"/>
      <c r="G199" s="6">
        <f>IF(OR(A199="",E199=""),"",E199*IF(F199="",1,F199))</f>
        <v/>
      </c>
      <c r="H199">
        <f>IF(A199="","",YEAR(A199))</f>
        <v/>
      </c>
      <c r="I199">
        <f>IF(A199="","",IF(MONTH(A199)&lt;=3,1,IF(MONTH(A199)&lt;=5,2,IF(MONTH(A199)&lt;=8,3,4))))</f>
        <v/>
      </c>
      <c r="J199">
        <f>IF(A199="","",MONTH(A199))</f>
        <v/>
      </c>
    </row>
    <row r="200">
      <c r="A200" s="15" t="n"/>
      <c r="B200" s="16" t="n"/>
      <c r="C200" s="16" t="n"/>
      <c r="D200" s="16" t="n"/>
      <c r="E200" s="18" t="n"/>
      <c r="F200" s="19" t="n"/>
      <c r="G200" s="6">
        <f>IF(OR(A200="",E200=""),"",E200*IF(F200="",1,F200))</f>
        <v/>
      </c>
      <c r="H200">
        <f>IF(A200="","",YEAR(A200))</f>
        <v/>
      </c>
      <c r="I200">
        <f>IF(A200="","",IF(MONTH(A200)&lt;=3,1,IF(MONTH(A200)&lt;=5,2,IF(MONTH(A200)&lt;=8,3,4))))</f>
        <v/>
      </c>
      <c r="J200">
        <f>IF(A200="","",MONTH(A200))</f>
        <v/>
      </c>
    </row>
    <row r="201">
      <c r="A201" s="15" t="n"/>
      <c r="B201" s="16" t="n"/>
      <c r="C201" s="16" t="n"/>
      <c r="D201" s="16" t="n"/>
      <c r="E201" s="18" t="n"/>
      <c r="F201" s="19" t="n"/>
      <c r="G201" s="6">
        <f>IF(OR(A201="",E201=""),"",E201*IF(F201="",1,F201))</f>
        <v/>
      </c>
      <c r="H201">
        <f>IF(A201="","",YEAR(A201))</f>
        <v/>
      </c>
      <c r="I201">
        <f>IF(A201="","",IF(MONTH(A201)&lt;=3,1,IF(MONTH(A201)&lt;=5,2,IF(MONTH(A201)&lt;=8,3,4))))</f>
        <v/>
      </c>
      <c r="J201">
        <f>IF(A201="","",MONTH(A201))</f>
        <v/>
      </c>
    </row>
    <row r="202">
      <c r="A202" s="15" t="n"/>
      <c r="B202" s="16" t="n"/>
      <c r="C202" s="16" t="n"/>
      <c r="D202" s="16" t="n"/>
      <c r="E202" s="18" t="n"/>
      <c r="F202" s="19" t="n"/>
      <c r="G202" s="6">
        <f>IF(OR(A202="",E202=""),"",E202*IF(F202="",1,F202))</f>
        <v/>
      </c>
      <c r="H202">
        <f>IF(A202="","",YEAR(A202))</f>
        <v/>
      </c>
      <c r="I202">
        <f>IF(A202="","",IF(MONTH(A202)&lt;=3,1,IF(MONTH(A202)&lt;=5,2,IF(MONTH(A202)&lt;=8,3,4))))</f>
        <v/>
      </c>
      <c r="J202">
        <f>IF(A202="","",MONTH(A202))</f>
        <v/>
      </c>
    </row>
    <row r="203">
      <c r="A203" s="15" t="n"/>
      <c r="B203" s="16" t="n"/>
      <c r="C203" s="16" t="n"/>
      <c r="D203" s="16" t="n"/>
      <c r="E203" s="18" t="n"/>
      <c r="F203" s="19" t="n"/>
      <c r="G203" s="6">
        <f>IF(OR(A203="",E203=""),"",E203*IF(F203="",1,F203))</f>
        <v/>
      </c>
      <c r="H203">
        <f>IF(A203="","",YEAR(A203))</f>
        <v/>
      </c>
      <c r="I203">
        <f>IF(A203="","",IF(MONTH(A203)&lt;=3,1,IF(MONTH(A203)&lt;=5,2,IF(MONTH(A203)&lt;=8,3,4))))</f>
        <v/>
      </c>
      <c r="J203">
        <f>IF(A203="","",MONTH(A203))</f>
        <v/>
      </c>
    </row>
    <row r="204">
      <c r="A204" s="15" t="n"/>
      <c r="B204" s="16" t="n"/>
      <c r="C204" s="16" t="n"/>
      <c r="D204" s="16" t="n"/>
      <c r="E204" s="18" t="n"/>
      <c r="F204" s="19" t="n"/>
      <c r="G204" s="6">
        <f>IF(OR(A204="",E204=""),"",E204*IF(F204="",1,F204))</f>
        <v/>
      </c>
      <c r="H204">
        <f>IF(A204="","",YEAR(A204))</f>
        <v/>
      </c>
      <c r="I204">
        <f>IF(A204="","",IF(MONTH(A204)&lt;=3,1,IF(MONTH(A204)&lt;=5,2,IF(MONTH(A204)&lt;=8,3,4))))</f>
        <v/>
      </c>
      <c r="J204">
        <f>IF(A204="","",MONTH(A204))</f>
        <v/>
      </c>
    </row>
    <row r="205">
      <c r="A205" s="15" t="n"/>
      <c r="B205" s="16" t="n"/>
      <c r="C205" s="16" t="n"/>
      <c r="D205" s="16" t="n"/>
      <c r="E205" s="18" t="n"/>
      <c r="F205" s="19" t="n"/>
      <c r="G205" s="6">
        <f>IF(OR(A205="",E205=""),"",E205*IF(F205="",1,F205))</f>
        <v/>
      </c>
      <c r="H205">
        <f>IF(A205="","",YEAR(A205))</f>
        <v/>
      </c>
      <c r="I205">
        <f>IF(A205="","",IF(MONTH(A205)&lt;=3,1,IF(MONTH(A205)&lt;=5,2,IF(MONTH(A205)&lt;=8,3,4))))</f>
        <v/>
      </c>
      <c r="J205">
        <f>IF(A205="","",MONTH(A205))</f>
        <v/>
      </c>
    </row>
    <row r="206">
      <c r="A206" s="15" t="n"/>
      <c r="B206" s="16" t="n"/>
      <c r="C206" s="16" t="n"/>
      <c r="D206" s="16" t="n"/>
      <c r="E206" s="18" t="n"/>
      <c r="F206" s="19" t="n"/>
      <c r="G206" s="6">
        <f>IF(OR(A206="",E206=""),"",E206*IF(F206="",1,F206))</f>
        <v/>
      </c>
      <c r="H206">
        <f>IF(A206="","",YEAR(A206))</f>
        <v/>
      </c>
      <c r="I206">
        <f>IF(A206="","",IF(MONTH(A206)&lt;=3,1,IF(MONTH(A206)&lt;=5,2,IF(MONTH(A206)&lt;=8,3,4))))</f>
        <v/>
      </c>
      <c r="J206">
        <f>IF(A206="","",MONTH(A206))</f>
        <v/>
      </c>
    </row>
    <row r="207">
      <c r="A207" s="15" t="n"/>
      <c r="B207" s="16" t="n"/>
      <c r="C207" s="16" t="n"/>
      <c r="D207" s="16" t="n"/>
      <c r="E207" s="18" t="n"/>
      <c r="F207" s="19" t="n"/>
      <c r="G207" s="6">
        <f>IF(OR(A207="",E207=""),"",E207*IF(F207="",1,F207))</f>
        <v/>
      </c>
      <c r="H207">
        <f>IF(A207="","",YEAR(A207))</f>
        <v/>
      </c>
      <c r="I207">
        <f>IF(A207="","",IF(MONTH(A207)&lt;=3,1,IF(MONTH(A207)&lt;=5,2,IF(MONTH(A207)&lt;=8,3,4))))</f>
        <v/>
      </c>
      <c r="J207">
        <f>IF(A207="","",MONTH(A207))</f>
        <v/>
      </c>
    </row>
    <row r="208">
      <c r="A208" s="15" t="n"/>
      <c r="B208" s="16" t="n"/>
      <c r="C208" s="16" t="n"/>
      <c r="D208" s="16" t="n"/>
      <c r="E208" s="18" t="n"/>
      <c r="F208" s="19" t="n"/>
      <c r="G208" s="6">
        <f>IF(OR(A208="",E208=""),"",E208*IF(F208="",1,F208))</f>
        <v/>
      </c>
      <c r="H208">
        <f>IF(A208="","",YEAR(A208))</f>
        <v/>
      </c>
      <c r="I208">
        <f>IF(A208="","",IF(MONTH(A208)&lt;=3,1,IF(MONTH(A208)&lt;=5,2,IF(MONTH(A208)&lt;=8,3,4))))</f>
        <v/>
      </c>
      <c r="J208">
        <f>IF(A208="","",MONTH(A208))</f>
        <v/>
      </c>
    </row>
    <row r="209">
      <c r="A209" s="15" t="n"/>
      <c r="B209" s="16" t="n"/>
      <c r="C209" s="16" t="n"/>
      <c r="D209" s="16" t="n"/>
      <c r="E209" s="18" t="n"/>
      <c r="F209" s="19" t="n"/>
      <c r="G209" s="6">
        <f>IF(OR(A209="",E209=""),"",E209*IF(F209="",1,F209))</f>
        <v/>
      </c>
      <c r="H209">
        <f>IF(A209="","",YEAR(A209))</f>
        <v/>
      </c>
      <c r="I209">
        <f>IF(A209="","",IF(MONTH(A209)&lt;=3,1,IF(MONTH(A209)&lt;=5,2,IF(MONTH(A209)&lt;=8,3,4))))</f>
        <v/>
      </c>
      <c r="J209">
        <f>IF(A209="","",MONTH(A209))</f>
        <v/>
      </c>
    </row>
    <row r="210">
      <c r="A210" s="15" t="n"/>
      <c r="B210" s="16" t="n"/>
      <c r="C210" s="16" t="n"/>
      <c r="D210" s="16" t="n"/>
      <c r="E210" s="18" t="n"/>
      <c r="F210" s="19" t="n"/>
      <c r="G210" s="6">
        <f>IF(OR(A210="",E210=""),"",E210*IF(F210="",1,F210))</f>
        <v/>
      </c>
      <c r="H210">
        <f>IF(A210="","",YEAR(A210))</f>
        <v/>
      </c>
      <c r="I210">
        <f>IF(A210="","",IF(MONTH(A210)&lt;=3,1,IF(MONTH(A210)&lt;=5,2,IF(MONTH(A210)&lt;=8,3,4))))</f>
        <v/>
      </c>
      <c r="J210">
        <f>IF(A210="","",MONTH(A210))</f>
        <v/>
      </c>
    </row>
    <row r="211">
      <c r="A211" s="15" t="n"/>
      <c r="B211" s="16" t="n"/>
      <c r="C211" s="16" t="n"/>
      <c r="D211" s="16" t="n"/>
      <c r="E211" s="18" t="n"/>
      <c r="F211" s="19" t="n"/>
      <c r="G211" s="6">
        <f>IF(OR(A211="",E211=""),"",E211*IF(F211="",1,F211))</f>
        <v/>
      </c>
      <c r="H211">
        <f>IF(A211="","",YEAR(A211))</f>
        <v/>
      </c>
      <c r="I211">
        <f>IF(A211="","",IF(MONTH(A211)&lt;=3,1,IF(MONTH(A211)&lt;=5,2,IF(MONTH(A211)&lt;=8,3,4))))</f>
        <v/>
      </c>
      <c r="J211">
        <f>IF(A211="","",MONTH(A211))</f>
        <v/>
      </c>
    </row>
    <row r="212">
      <c r="A212" s="15" t="n"/>
      <c r="B212" s="16" t="n"/>
      <c r="C212" s="16" t="n"/>
      <c r="D212" s="16" t="n"/>
      <c r="E212" s="18" t="n"/>
      <c r="F212" s="19" t="n"/>
      <c r="G212" s="6">
        <f>IF(OR(A212="",E212=""),"",E212*IF(F212="",1,F212))</f>
        <v/>
      </c>
      <c r="H212">
        <f>IF(A212="","",YEAR(A212))</f>
        <v/>
      </c>
      <c r="I212">
        <f>IF(A212="","",IF(MONTH(A212)&lt;=3,1,IF(MONTH(A212)&lt;=5,2,IF(MONTH(A212)&lt;=8,3,4))))</f>
        <v/>
      </c>
      <c r="J212">
        <f>IF(A212="","",MONTH(A212))</f>
        <v/>
      </c>
    </row>
    <row r="213">
      <c r="A213" s="15" t="n"/>
      <c r="B213" s="16" t="n"/>
      <c r="C213" s="16" t="n"/>
      <c r="D213" s="16" t="n"/>
      <c r="E213" s="18" t="n"/>
      <c r="F213" s="19" t="n"/>
      <c r="G213" s="6">
        <f>IF(OR(A213="",E213=""),"",E213*IF(F213="",1,F213))</f>
        <v/>
      </c>
      <c r="H213">
        <f>IF(A213="","",YEAR(A213))</f>
        <v/>
      </c>
      <c r="I213">
        <f>IF(A213="","",IF(MONTH(A213)&lt;=3,1,IF(MONTH(A213)&lt;=5,2,IF(MONTH(A213)&lt;=8,3,4))))</f>
        <v/>
      </c>
      <c r="J213">
        <f>IF(A213="","",MONTH(A213))</f>
        <v/>
      </c>
    </row>
    <row r="214">
      <c r="A214" s="15" t="n"/>
      <c r="B214" s="16" t="n"/>
      <c r="C214" s="16" t="n"/>
      <c r="D214" s="16" t="n"/>
      <c r="E214" s="18" t="n"/>
      <c r="F214" s="19" t="n"/>
      <c r="G214" s="6">
        <f>IF(OR(A214="",E214=""),"",E214*IF(F214="",1,F214))</f>
        <v/>
      </c>
      <c r="H214">
        <f>IF(A214="","",YEAR(A214))</f>
        <v/>
      </c>
      <c r="I214">
        <f>IF(A214="","",IF(MONTH(A214)&lt;=3,1,IF(MONTH(A214)&lt;=5,2,IF(MONTH(A214)&lt;=8,3,4))))</f>
        <v/>
      </c>
      <c r="J214">
        <f>IF(A214="","",MONTH(A214))</f>
        <v/>
      </c>
    </row>
    <row r="215">
      <c r="A215" s="15" t="n"/>
      <c r="B215" s="16" t="n"/>
      <c r="C215" s="16" t="n"/>
      <c r="D215" s="16" t="n"/>
      <c r="E215" s="18" t="n"/>
      <c r="F215" s="19" t="n"/>
      <c r="G215" s="6">
        <f>IF(OR(A215="",E215=""),"",E215*IF(F215="",1,F215))</f>
        <v/>
      </c>
      <c r="H215">
        <f>IF(A215="","",YEAR(A215))</f>
        <v/>
      </c>
      <c r="I215">
        <f>IF(A215="","",IF(MONTH(A215)&lt;=3,1,IF(MONTH(A215)&lt;=5,2,IF(MONTH(A215)&lt;=8,3,4))))</f>
        <v/>
      </c>
      <c r="J215">
        <f>IF(A215="","",MONTH(A215))</f>
        <v/>
      </c>
    </row>
    <row r="216">
      <c r="A216" s="15" t="n"/>
      <c r="B216" s="16" t="n"/>
      <c r="C216" s="16" t="n"/>
      <c r="D216" s="16" t="n"/>
      <c r="E216" s="18" t="n"/>
      <c r="F216" s="19" t="n"/>
      <c r="G216" s="6">
        <f>IF(OR(A216="",E216=""),"",E216*IF(F216="",1,F216))</f>
        <v/>
      </c>
      <c r="H216">
        <f>IF(A216="","",YEAR(A216))</f>
        <v/>
      </c>
      <c r="I216">
        <f>IF(A216="","",IF(MONTH(A216)&lt;=3,1,IF(MONTH(A216)&lt;=5,2,IF(MONTH(A216)&lt;=8,3,4))))</f>
        <v/>
      </c>
      <c r="J216">
        <f>IF(A216="","",MONTH(A216))</f>
        <v/>
      </c>
    </row>
    <row r="217">
      <c r="A217" s="15" t="n"/>
      <c r="B217" s="16" t="n"/>
      <c r="C217" s="16" t="n"/>
      <c r="D217" s="16" t="n"/>
      <c r="E217" s="18" t="n"/>
      <c r="F217" s="19" t="n"/>
      <c r="G217" s="6">
        <f>IF(OR(A217="",E217=""),"",E217*IF(F217="",1,F217))</f>
        <v/>
      </c>
      <c r="H217">
        <f>IF(A217="","",YEAR(A217))</f>
        <v/>
      </c>
      <c r="I217">
        <f>IF(A217="","",IF(MONTH(A217)&lt;=3,1,IF(MONTH(A217)&lt;=5,2,IF(MONTH(A217)&lt;=8,3,4))))</f>
        <v/>
      </c>
      <c r="J217">
        <f>IF(A217="","",MONTH(A217))</f>
        <v/>
      </c>
    </row>
    <row r="218">
      <c r="A218" s="15" t="n"/>
      <c r="B218" s="16" t="n"/>
      <c r="C218" s="16" t="n"/>
      <c r="D218" s="16" t="n"/>
      <c r="E218" s="18" t="n"/>
      <c r="F218" s="19" t="n"/>
      <c r="G218" s="6">
        <f>IF(OR(A218="",E218=""),"",E218*IF(F218="",1,F218))</f>
        <v/>
      </c>
      <c r="H218">
        <f>IF(A218="","",YEAR(A218))</f>
        <v/>
      </c>
      <c r="I218">
        <f>IF(A218="","",IF(MONTH(A218)&lt;=3,1,IF(MONTH(A218)&lt;=5,2,IF(MONTH(A218)&lt;=8,3,4))))</f>
        <v/>
      </c>
      <c r="J218">
        <f>IF(A218="","",MONTH(A218))</f>
        <v/>
      </c>
    </row>
    <row r="219">
      <c r="A219" s="15" t="n"/>
      <c r="B219" s="16" t="n"/>
      <c r="C219" s="16" t="n"/>
      <c r="D219" s="16" t="n"/>
      <c r="E219" s="18" t="n"/>
      <c r="F219" s="19" t="n"/>
      <c r="G219" s="6">
        <f>IF(OR(A219="",E219=""),"",E219*IF(F219="",1,F219))</f>
        <v/>
      </c>
      <c r="H219">
        <f>IF(A219="","",YEAR(A219))</f>
        <v/>
      </c>
      <c r="I219">
        <f>IF(A219="","",IF(MONTH(A219)&lt;=3,1,IF(MONTH(A219)&lt;=5,2,IF(MONTH(A219)&lt;=8,3,4))))</f>
        <v/>
      </c>
      <c r="J219">
        <f>IF(A219="","",MONTH(A219))</f>
        <v/>
      </c>
    </row>
    <row r="220">
      <c r="A220" s="15" t="n"/>
      <c r="B220" s="16" t="n"/>
      <c r="C220" s="16" t="n"/>
      <c r="D220" s="16" t="n"/>
      <c r="E220" s="18" t="n"/>
      <c r="F220" s="19" t="n"/>
      <c r="G220" s="6">
        <f>IF(OR(A220="",E220=""),"",E220*IF(F220="",1,F220))</f>
        <v/>
      </c>
      <c r="H220">
        <f>IF(A220="","",YEAR(A220))</f>
        <v/>
      </c>
      <c r="I220">
        <f>IF(A220="","",IF(MONTH(A220)&lt;=3,1,IF(MONTH(A220)&lt;=5,2,IF(MONTH(A220)&lt;=8,3,4))))</f>
        <v/>
      </c>
      <c r="J220">
        <f>IF(A220="","",MONTH(A220))</f>
        <v/>
      </c>
    </row>
    <row r="221">
      <c r="A221" s="15" t="n"/>
      <c r="B221" s="16" t="n"/>
      <c r="C221" s="16" t="n"/>
      <c r="D221" s="16" t="n"/>
      <c r="E221" s="18" t="n"/>
      <c r="F221" s="19" t="n"/>
      <c r="G221" s="6">
        <f>IF(OR(A221="",E221=""),"",E221*IF(F221="",1,F221))</f>
        <v/>
      </c>
      <c r="H221">
        <f>IF(A221="","",YEAR(A221))</f>
        <v/>
      </c>
      <c r="I221">
        <f>IF(A221="","",IF(MONTH(A221)&lt;=3,1,IF(MONTH(A221)&lt;=5,2,IF(MONTH(A221)&lt;=8,3,4))))</f>
        <v/>
      </c>
      <c r="J221">
        <f>IF(A221="","",MONTH(A221))</f>
        <v/>
      </c>
    </row>
    <row r="222">
      <c r="A222" s="15" t="n"/>
      <c r="B222" s="16" t="n"/>
      <c r="C222" s="16" t="n"/>
      <c r="D222" s="16" t="n"/>
      <c r="E222" s="18" t="n"/>
      <c r="F222" s="19" t="n"/>
      <c r="G222" s="6">
        <f>IF(OR(A222="",E222=""),"",E222*IF(F222="",1,F222))</f>
        <v/>
      </c>
      <c r="H222">
        <f>IF(A222="","",YEAR(A222))</f>
        <v/>
      </c>
      <c r="I222">
        <f>IF(A222="","",IF(MONTH(A222)&lt;=3,1,IF(MONTH(A222)&lt;=5,2,IF(MONTH(A222)&lt;=8,3,4))))</f>
        <v/>
      </c>
      <c r="J222">
        <f>IF(A222="","",MONTH(A222))</f>
        <v/>
      </c>
    </row>
    <row r="223">
      <c r="A223" s="15" t="n"/>
      <c r="B223" s="16" t="n"/>
      <c r="C223" s="16" t="n"/>
      <c r="D223" s="16" t="n"/>
      <c r="E223" s="18" t="n"/>
      <c r="F223" s="19" t="n"/>
      <c r="G223" s="6">
        <f>IF(OR(A223="",E223=""),"",E223*IF(F223="",1,F223))</f>
        <v/>
      </c>
      <c r="H223">
        <f>IF(A223="","",YEAR(A223))</f>
        <v/>
      </c>
      <c r="I223">
        <f>IF(A223="","",IF(MONTH(A223)&lt;=3,1,IF(MONTH(A223)&lt;=5,2,IF(MONTH(A223)&lt;=8,3,4))))</f>
        <v/>
      </c>
      <c r="J223">
        <f>IF(A223="","",MONTH(A223))</f>
        <v/>
      </c>
    </row>
    <row r="224">
      <c r="A224" s="15" t="n"/>
      <c r="B224" s="16" t="n"/>
      <c r="C224" s="16" t="n"/>
      <c r="D224" s="16" t="n"/>
      <c r="E224" s="18" t="n"/>
      <c r="F224" s="19" t="n"/>
      <c r="G224" s="6">
        <f>IF(OR(A224="",E224=""),"",E224*IF(F224="",1,F224))</f>
        <v/>
      </c>
      <c r="H224">
        <f>IF(A224="","",YEAR(A224))</f>
        <v/>
      </c>
      <c r="I224">
        <f>IF(A224="","",IF(MONTH(A224)&lt;=3,1,IF(MONTH(A224)&lt;=5,2,IF(MONTH(A224)&lt;=8,3,4))))</f>
        <v/>
      </c>
      <c r="J224">
        <f>IF(A224="","",MONTH(A224))</f>
        <v/>
      </c>
    </row>
    <row r="225">
      <c r="A225" s="15" t="n"/>
      <c r="B225" s="16" t="n"/>
      <c r="C225" s="16" t="n"/>
      <c r="D225" s="16" t="n"/>
      <c r="E225" s="18" t="n"/>
      <c r="F225" s="19" t="n"/>
      <c r="G225" s="6">
        <f>IF(OR(A225="",E225=""),"",E225*IF(F225="",1,F225))</f>
        <v/>
      </c>
      <c r="H225">
        <f>IF(A225="","",YEAR(A225))</f>
        <v/>
      </c>
      <c r="I225">
        <f>IF(A225="","",IF(MONTH(A225)&lt;=3,1,IF(MONTH(A225)&lt;=5,2,IF(MONTH(A225)&lt;=8,3,4))))</f>
        <v/>
      </c>
      <c r="J225">
        <f>IF(A225="","",MONTH(A225))</f>
        <v/>
      </c>
    </row>
    <row r="226">
      <c r="A226" s="15" t="n"/>
      <c r="B226" s="16" t="n"/>
      <c r="C226" s="16" t="n"/>
      <c r="D226" s="16" t="n"/>
      <c r="E226" s="18" t="n"/>
      <c r="F226" s="19" t="n"/>
      <c r="G226" s="6">
        <f>IF(OR(A226="",E226=""),"",E226*IF(F226="",1,F226))</f>
        <v/>
      </c>
      <c r="H226">
        <f>IF(A226="","",YEAR(A226))</f>
        <v/>
      </c>
      <c r="I226">
        <f>IF(A226="","",IF(MONTH(A226)&lt;=3,1,IF(MONTH(A226)&lt;=5,2,IF(MONTH(A226)&lt;=8,3,4))))</f>
        <v/>
      </c>
      <c r="J226">
        <f>IF(A226="","",MONTH(A226))</f>
        <v/>
      </c>
    </row>
    <row r="227">
      <c r="A227" s="15" t="n"/>
      <c r="B227" s="16" t="n"/>
      <c r="C227" s="16" t="n"/>
      <c r="D227" s="16" t="n"/>
      <c r="E227" s="18" t="n"/>
      <c r="F227" s="19" t="n"/>
      <c r="G227" s="6">
        <f>IF(OR(A227="",E227=""),"",E227*IF(F227="",1,F227))</f>
        <v/>
      </c>
      <c r="H227">
        <f>IF(A227="","",YEAR(A227))</f>
        <v/>
      </c>
      <c r="I227">
        <f>IF(A227="","",IF(MONTH(A227)&lt;=3,1,IF(MONTH(A227)&lt;=5,2,IF(MONTH(A227)&lt;=8,3,4))))</f>
        <v/>
      </c>
      <c r="J227">
        <f>IF(A227="","",MONTH(A227))</f>
        <v/>
      </c>
    </row>
    <row r="228">
      <c r="A228" s="15" t="n"/>
      <c r="B228" s="16" t="n"/>
      <c r="C228" s="16" t="n"/>
      <c r="D228" s="16" t="n"/>
      <c r="E228" s="18" t="n"/>
      <c r="F228" s="19" t="n"/>
      <c r="G228" s="6">
        <f>IF(OR(A228="",E228=""),"",E228*IF(F228="",1,F228))</f>
        <v/>
      </c>
      <c r="H228">
        <f>IF(A228="","",YEAR(A228))</f>
        <v/>
      </c>
      <c r="I228">
        <f>IF(A228="","",IF(MONTH(A228)&lt;=3,1,IF(MONTH(A228)&lt;=5,2,IF(MONTH(A228)&lt;=8,3,4))))</f>
        <v/>
      </c>
      <c r="J228">
        <f>IF(A228="","",MONTH(A228))</f>
        <v/>
      </c>
    </row>
    <row r="229">
      <c r="A229" s="15" t="n"/>
      <c r="B229" s="16" t="n"/>
      <c r="C229" s="16" t="n"/>
      <c r="D229" s="16" t="n"/>
      <c r="E229" s="18" t="n"/>
      <c r="F229" s="19" t="n"/>
      <c r="G229" s="6">
        <f>IF(OR(A229="",E229=""),"",E229*IF(F229="",1,F229))</f>
        <v/>
      </c>
      <c r="H229">
        <f>IF(A229="","",YEAR(A229))</f>
        <v/>
      </c>
      <c r="I229">
        <f>IF(A229="","",IF(MONTH(A229)&lt;=3,1,IF(MONTH(A229)&lt;=5,2,IF(MONTH(A229)&lt;=8,3,4))))</f>
        <v/>
      </c>
      <c r="J229">
        <f>IF(A229="","",MONTH(A229))</f>
        <v/>
      </c>
    </row>
    <row r="230">
      <c r="A230" s="15" t="n"/>
      <c r="B230" s="16" t="n"/>
      <c r="C230" s="16" t="n"/>
      <c r="D230" s="16" t="n"/>
      <c r="E230" s="18" t="n"/>
      <c r="F230" s="19" t="n"/>
      <c r="G230" s="6">
        <f>IF(OR(A230="",E230=""),"",E230*IF(F230="",1,F230))</f>
        <v/>
      </c>
      <c r="H230">
        <f>IF(A230="","",YEAR(A230))</f>
        <v/>
      </c>
      <c r="I230">
        <f>IF(A230="","",IF(MONTH(A230)&lt;=3,1,IF(MONTH(A230)&lt;=5,2,IF(MONTH(A230)&lt;=8,3,4))))</f>
        <v/>
      </c>
      <c r="J230">
        <f>IF(A230="","",MONTH(A230))</f>
        <v/>
      </c>
    </row>
    <row r="231">
      <c r="A231" s="15" t="n"/>
      <c r="B231" s="16" t="n"/>
      <c r="C231" s="16" t="n"/>
      <c r="D231" s="16" t="n"/>
      <c r="E231" s="18" t="n"/>
      <c r="F231" s="19" t="n"/>
      <c r="G231" s="6">
        <f>IF(OR(A231="",E231=""),"",E231*IF(F231="",1,F231))</f>
        <v/>
      </c>
      <c r="H231">
        <f>IF(A231="","",YEAR(A231))</f>
        <v/>
      </c>
      <c r="I231">
        <f>IF(A231="","",IF(MONTH(A231)&lt;=3,1,IF(MONTH(A231)&lt;=5,2,IF(MONTH(A231)&lt;=8,3,4))))</f>
        <v/>
      </c>
      <c r="J231">
        <f>IF(A231="","",MONTH(A231))</f>
        <v/>
      </c>
    </row>
    <row r="232">
      <c r="A232" s="15" t="n"/>
      <c r="B232" s="16" t="n"/>
      <c r="C232" s="16" t="n"/>
      <c r="D232" s="16" t="n"/>
      <c r="E232" s="18" t="n"/>
      <c r="F232" s="19" t="n"/>
      <c r="G232" s="6">
        <f>IF(OR(A232="",E232=""),"",E232*IF(F232="",1,F232))</f>
        <v/>
      </c>
      <c r="H232">
        <f>IF(A232="","",YEAR(A232))</f>
        <v/>
      </c>
      <c r="I232">
        <f>IF(A232="","",IF(MONTH(A232)&lt;=3,1,IF(MONTH(A232)&lt;=5,2,IF(MONTH(A232)&lt;=8,3,4))))</f>
        <v/>
      </c>
      <c r="J232">
        <f>IF(A232="","",MONTH(A232))</f>
        <v/>
      </c>
    </row>
    <row r="233">
      <c r="A233" s="15" t="n"/>
      <c r="B233" s="16" t="n"/>
      <c r="C233" s="16" t="n"/>
      <c r="D233" s="16" t="n"/>
      <c r="E233" s="18" t="n"/>
      <c r="F233" s="19" t="n"/>
      <c r="G233" s="6">
        <f>IF(OR(A233="",E233=""),"",E233*IF(F233="",1,F233))</f>
        <v/>
      </c>
      <c r="H233">
        <f>IF(A233="","",YEAR(A233))</f>
        <v/>
      </c>
      <c r="I233">
        <f>IF(A233="","",IF(MONTH(A233)&lt;=3,1,IF(MONTH(A233)&lt;=5,2,IF(MONTH(A233)&lt;=8,3,4))))</f>
        <v/>
      </c>
      <c r="J233">
        <f>IF(A233="","",MONTH(A233))</f>
        <v/>
      </c>
    </row>
    <row r="234">
      <c r="A234" s="15" t="n"/>
      <c r="B234" s="16" t="n"/>
      <c r="C234" s="16" t="n"/>
      <c r="D234" s="16" t="n"/>
      <c r="E234" s="18" t="n"/>
      <c r="F234" s="19" t="n"/>
      <c r="G234" s="6">
        <f>IF(OR(A234="",E234=""),"",E234*IF(F234="",1,F234))</f>
        <v/>
      </c>
      <c r="H234">
        <f>IF(A234="","",YEAR(A234))</f>
        <v/>
      </c>
      <c r="I234">
        <f>IF(A234="","",IF(MONTH(A234)&lt;=3,1,IF(MONTH(A234)&lt;=5,2,IF(MONTH(A234)&lt;=8,3,4))))</f>
        <v/>
      </c>
      <c r="J234">
        <f>IF(A234="","",MONTH(A234))</f>
        <v/>
      </c>
    </row>
    <row r="235">
      <c r="A235" s="15" t="n"/>
      <c r="B235" s="16" t="n"/>
      <c r="C235" s="16" t="n"/>
      <c r="D235" s="16" t="n"/>
      <c r="E235" s="18" t="n"/>
      <c r="F235" s="19" t="n"/>
      <c r="G235" s="6">
        <f>IF(OR(A235="",E235=""),"",E235*IF(F235="",1,F235))</f>
        <v/>
      </c>
      <c r="H235">
        <f>IF(A235="","",YEAR(A235))</f>
        <v/>
      </c>
      <c r="I235">
        <f>IF(A235="","",IF(MONTH(A235)&lt;=3,1,IF(MONTH(A235)&lt;=5,2,IF(MONTH(A235)&lt;=8,3,4))))</f>
        <v/>
      </c>
      <c r="J235">
        <f>IF(A235="","",MONTH(A235))</f>
        <v/>
      </c>
    </row>
    <row r="236">
      <c r="A236" s="15" t="n"/>
      <c r="B236" s="16" t="n"/>
      <c r="C236" s="16" t="n"/>
      <c r="D236" s="16" t="n"/>
      <c r="E236" s="18" t="n"/>
      <c r="F236" s="19" t="n"/>
      <c r="G236" s="6">
        <f>IF(OR(A236="",E236=""),"",E236*IF(F236="",1,F236))</f>
        <v/>
      </c>
      <c r="H236">
        <f>IF(A236="","",YEAR(A236))</f>
        <v/>
      </c>
      <c r="I236">
        <f>IF(A236="","",IF(MONTH(A236)&lt;=3,1,IF(MONTH(A236)&lt;=5,2,IF(MONTH(A236)&lt;=8,3,4))))</f>
        <v/>
      </c>
      <c r="J236">
        <f>IF(A236="","",MONTH(A236))</f>
        <v/>
      </c>
    </row>
    <row r="237">
      <c r="A237" s="15" t="n"/>
      <c r="B237" s="16" t="n"/>
      <c r="C237" s="16" t="n"/>
      <c r="D237" s="16" t="n"/>
      <c r="E237" s="18" t="n"/>
      <c r="F237" s="19" t="n"/>
      <c r="G237" s="6">
        <f>IF(OR(A237="",E237=""),"",E237*IF(F237="",1,F237))</f>
        <v/>
      </c>
      <c r="H237">
        <f>IF(A237="","",YEAR(A237))</f>
        <v/>
      </c>
      <c r="I237">
        <f>IF(A237="","",IF(MONTH(A237)&lt;=3,1,IF(MONTH(A237)&lt;=5,2,IF(MONTH(A237)&lt;=8,3,4))))</f>
        <v/>
      </c>
      <c r="J237">
        <f>IF(A237="","",MONTH(A237))</f>
        <v/>
      </c>
    </row>
    <row r="238">
      <c r="A238" s="15" t="n"/>
      <c r="B238" s="16" t="n"/>
      <c r="C238" s="16" t="n"/>
      <c r="D238" s="16" t="n"/>
      <c r="E238" s="18" t="n"/>
      <c r="F238" s="19" t="n"/>
      <c r="G238" s="6">
        <f>IF(OR(A238="",E238=""),"",E238*IF(F238="",1,F238))</f>
        <v/>
      </c>
      <c r="H238">
        <f>IF(A238="","",YEAR(A238))</f>
        <v/>
      </c>
      <c r="I238">
        <f>IF(A238="","",IF(MONTH(A238)&lt;=3,1,IF(MONTH(A238)&lt;=5,2,IF(MONTH(A238)&lt;=8,3,4))))</f>
        <v/>
      </c>
      <c r="J238">
        <f>IF(A238="","",MONTH(A238))</f>
        <v/>
      </c>
    </row>
    <row r="239">
      <c r="A239" s="15" t="n"/>
      <c r="B239" s="16" t="n"/>
      <c r="C239" s="16" t="n"/>
      <c r="D239" s="16" t="n"/>
      <c r="E239" s="18" t="n"/>
      <c r="F239" s="19" t="n"/>
      <c r="G239" s="6">
        <f>IF(OR(A239="",E239=""),"",E239*IF(F239="",1,F239))</f>
        <v/>
      </c>
      <c r="H239">
        <f>IF(A239="","",YEAR(A239))</f>
        <v/>
      </c>
      <c r="I239">
        <f>IF(A239="","",IF(MONTH(A239)&lt;=3,1,IF(MONTH(A239)&lt;=5,2,IF(MONTH(A239)&lt;=8,3,4))))</f>
        <v/>
      </c>
      <c r="J239">
        <f>IF(A239="","",MONTH(A239))</f>
        <v/>
      </c>
    </row>
    <row r="240">
      <c r="A240" s="15" t="n"/>
      <c r="B240" s="16" t="n"/>
      <c r="C240" s="16" t="n"/>
      <c r="D240" s="16" t="n"/>
      <c r="E240" s="18" t="n"/>
      <c r="F240" s="19" t="n"/>
      <c r="G240" s="6">
        <f>IF(OR(A240="",E240=""),"",E240*IF(F240="",1,F240))</f>
        <v/>
      </c>
      <c r="H240">
        <f>IF(A240="","",YEAR(A240))</f>
        <v/>
      </c>
      <c r="I240">
        <f>IF(A240="","",IF(MONTH(A240)&lt;=3,1,IF(MONTH(A240)&lt;=5,2,IF(MONTH(A240)&lt;=8,3,4))))</f>
        <v/>
      </c>
      <c r="J240">
        <f>IF(A240="","",MONTH(A240))</f>
        <v/>
      </c>
    </row>
    <row r="241">
      <c r="A241" s="15" t="n"/>
      <c r="B241" s="16" t="n"/>
      <c r="C241" s="16" t="n"/>
      <c r="D241" s="16" t="n"/>
      <c r="E241" s="18" t="n"/>
      <c r="F241" s="19" t="n"/>
      <c r="G241" s="6">
        <f>IF(OR(A241="",E241=""),"",E241*IF(F241="",1,F241))</f>
        <v/>
      </c>
      <c r="H241">
        <f>IF(A241="","",YEAR(A241))</f>
        <v/>
      </c>
      <c r="I241">
        <f>IF(A241="","",IF(MONTH(A241)&lt;=3,1,IF(MONTH(A241)&lt;=5,2,IF(MONTH(A241)&lt;=8,3,4))))</f>
        <v/>
      </c>
      <c r="J241">
        <f>IF(A241="","",MONTH(A241))</f>
        <v/>
      </c>
    </row>
    <row r="242">
      <c r="A242" s="15" t="n"/>
      <c r="B242" s="16" t="n"/>
      <c r="C242" s="16" t="n"/>
      <c r="D242" s="16" t="n"/>
      <c r="E242" s="18" t="n"/>
      <c r="F242" s="19" t="n"/>
      <c r="G242" s="6">
        <f>IF(OR(A242="",E242=""),"",E242*IF(F242="",1,F242))</f>
        <v/>
      </c>
      <c r="H242">
        <f>IF(A242="","",YEAR(A242))</f>
        <v/>
      </c>
      <c r="I242">
        <f>IF(A242="","",IF(MONTH(A242)&lt;=3,1,IF(MONTH(A242)&lt;=5,2,IF(MONTH(A242)&lt;=8,3,4))))</f>
        <v/>
      </c>
      <c r="J242">
        <f>IF(A242="","",MONTH(A242))</f>
        <v/>
      </c>
    </row>
    <row r="243">
      <c r="A243" s="15" t="n"/>
      <c r="B243" s="16" t="n"/>
      <c r="C243" s="16" t="n"/>
      <c r="D243" s="16" t="n"/>
      <c r="E243" s="18" t="n"/>
      <c r="F243" s="19" t="n"/>
      <c r="G243" s="6">
        <f>IF(OR(A243="",E243=""),"",E243*IF(F243="",1,F243))</f>
        <v/>
      </c>
      <c r="H243">
        <f>IF(A243="","",YEAR(A243))</f>
        <v/>
      </c>
      <c r="I243">
        <f>IF(A243="","",IF(MONTH(A243)&lt;=3,1,IF(MONTH(A243)&lt;=5,2,IF(MONTH(A243)&lt;=8,3,4))))</f>
        <v/>
      </c>
      <c r="J243">
        <f>IF(A243="","",MONTH(A243))</f>
        <v/>
      </c>
    </row>
    <row r="244">
      <c r="A244" s="15" t="n"/>
      <c r="B244" s="16" t="n"/>
      <c r="C244" s="16" t="n"/>
      <c r="D244" s="16" t="n"/>
      <c r="E244" s="18" t="n"/>
      <c r="F244" s="19" t="n"/>
      <c r="G244" s="6">
        <f>IF(OR(A244="",E244=""),"",E244*IF(F244="",1,F244))</f>
        <v/>
      </c>
      <c r="H244">
        <f>IF(A244="","",YEAR(A244))</f>
        <v/>
      </c>
      <c r="I244">
        <f>IF(A244="","",IF(MONTH(A244)&lt;=3,1,IF(MONTH(A244)&lt;=5,2,IF(MONTH(A244)&lt;=8,3,4))))</f>
        <v/>
      </c>
      <c r="J244">
        <f>IF(A244="","",MONTH(A244))</f>
        <v/>
      </c>
    </row>
    <row r="245">
      <c r="A245" s="15" t="n"/>
      <c r="B245" s="16" t="n"/>
      <c r="C245" s="16" t="n"/>
      <c r="D245" s="16" t="n"/>
      <c r="E245" s="18" t="n"/>
      <c r="F245" s="19" t="n"/>
      <c r="G245" s="6">
        <f>IF(OR(A245="",E245=""),"",E245*IF(F245="",1,F245))</f>
        <v/>
      </c>
      <c r="H245">
        <f>IF(A245="","",YEAR(A245))</f>
        <v/>
      </c>
      <c r="I245">
        <f>IF(A245="","",IF(MONTH(A245)&lt;=3,1,IF(MONTH(A245)&lt;=5,2,IF(MONTH(A245)&lt;=8,3,4))))</f>
        <v/>
      </c>
      <c r="J245">
        <f>IF(A245="","",MONTH(A245))</f>
        <v/>
      </c>
    </row>
    <row r="246">
      <c r="A246" s="15" t="n"/>
      <c r="B246" s="16" t="n"/>
      <c r="C246" s="16" t="n"/>
      <c r="D246" s="16" t="n"/>
      <c r="E246" s="18" t="n"/>
      <c r="F246" s="19" t="n"/>
      <c r="G246" s="6">
        <f>IF(OR(A246="",E246=""),"",E246*IF(F246="",1,F246))</f>
        <v/>
      </c>
      <c r="H246">
        <f>IF(A246="","",YEAR(A246))</f>
        <v/>
      </c>
      <c r="I246">
        <f>IF(A246="","",IF(MONTH(A246)&lt;=3,1,IF(MONTH(A246)&lt;=5,2,IF(MONTH(A246)&lt;=8,3,4))))</f>
        <v/>
      </c>
      <c r="J246">
        <f>IF(A246="","",MONTH(A246))</f>
        <v/>
      </c>
    </row>
    <row r="247">
      <c r="A247" s="15" t="n"/>
      <c r="B247" s="16" t="n"/>
      <c r="C247" s="16" t="n"/>
      <c r="D247" s="16" t="n"/>
      <c r="E247" s="18" t="n"/>
      <c r="F247" s="19" t="n"/>
      <c r="G247" s="6">
        <f>IF(OR(A247="",E247=""),"",E247*IF(F247="",1,F247))</f>
        <v/>
      </c>
      <c r="H247">
        <f>IF(A247="","",YEAR(A247))</f>
        <v/>
      </c>
      <c r="I247">
        <f>IF(A247="","",IF(MONTH(A247)&lt;=3,1,IF(MONTH(A247)&lt;=5,2,IF(MONTH(A247)&lt;=8,3,4))))</f>
        <v/>
      </c>
      <c r="J247">
        <f>IF(A247="","",MONTH(A247))</f>
        <v/>
      </c>
    </row>
    <row r="248">
      <c r="A248" s="15" t="n"/>
      <c r="B248" s="16" t="n"/>
      <c r="C248" s="16" t="n"/>
      <c r="D248" s="16" t="n"/>
      <c r="E248" s="18" t="n"/>
      <c r="F248" s="19" t="n"/>
      <c r="G248" s="6">
        <f>IF(OR(A248="",E248=""),"",E248*IF(F248="",1,F248))</f>
        <v/>
      </c>
      <c r="H248">
        <f>IF(A248="","",YEAR(A248))</f>
        <v/>
      </c>
      <c r="I248">
        <f>IF(A248="","",IF(MONTH(A248)&lt;=3,1,IF(MONTH(A248)&lt;=5,2,IF(MONTH(A248)&lt;=8,3,4))))</f>
        <v/>
      </c>
      <c r="J248">
        <f>IF(A248="","",MONTH(A248))</f>
        <v/>
      </c>
    </row>
    <row r="249">
      <c r="A249" s="15" t="n"/>
      <c r="B249" s="16" t="n"/>
      <c r="C249" s="16" t="n"/>
      <c r="D249" s="16" t="n"/>
      <c r="E249" s="18" t="n"/>
      <c r="F249" s="19" t="n"/>
      <c r="G249" s="6">
        <f>IF(OR(A249="",E249=""),"",E249*IF(F249="",1,F249))</f>
        <v/>
      </c>
      <c r="H249">
        <f>IF(A249="","",YEAR(A249))</f>
        <v/>
      </c>
      <c r="I249">
        <f>IF(A249="","",IF(MONTH(A249)&lt;=3,1,IF(MONTH(A249)&lt;=5,2,IF(MONTH(A249)&lt;=8,3,4))))</f>
        <v/>
      </c>
      <c r="J249">
        <f>IF(A249="","",MONTH(A249))</f>
        <v/>
      </c>
    </row>
    <row r="250">
      <c r="A250" s="15" t="n"/>
      <c r="B250" s="16" t="n"/>
      <c r="C250" s="16" t="n"/>
      <c r="D250" s="16" t="n"/>
      <c r="E250" s="18" t="n"/>
      <c r="F250" s="19" t="n"/>
      <c r="G250" s="6">
        <f>IF(OR(A250="",E250=""),"",E250*IF(F250="",1,F250))</f>
        <v/>
      </c>
      <c r="H250">
        <f>IF(A250="","",YEAR(A250))</f>
        <v/>
      </c>
      <c r="I250">
        <f>IF(A250="","",IF(MONTH(A250)&lt;=3,1,IF(MONTH(A250)&lt;=5,2,IF(MONTH(A250)&lt;=8,3,4))))</f>
        <v/>
      </c>
      <c r="J250">
        <f>IF(A250="","",MONTH(A250))</f>
        <v/>
      </c>
    </row>
    <row r="251">
      <c r="A251" s="15" t="n"/>
      <c r="B251" s="16" t="n"/>
      <c r="C251" s="16" t="n"/>
      <c r="D251" s="16" t="n"/>
      <c r="E251" s="18" t="n"/>
      <c r="F251" s="19" t="n"/>
      <c r="G251" s="6">
        <f>IF(OR(A251="",E251=""),"",E251*IF(F251="",1,F251))</f>
        <v/>
      </c>
      <c r="H251">
        <f>IF(A251="","",YEAR(A251))</f>
        <v/>
      </c>
      <c r="I251">
        <f>IF(A251="","",IF(MONTH(A251)&lt;=3,1,IF(MONTH(A251)&lt;=5,2,IF(MONTH(A251)&lt;=8,3,4))))</f>
        <v/>
      </c>
      <c r="J251">
        <f>IF(A251="","",MONTH(A251))</f>
        <v/>
      </c>
    </row>
    <row r="252">
      <c r="A252" s="15" t="n"/>
      <c r="B252" s="16" t="n"/>
      <c r="C252" s="16" t="n"/>
      <c r="D252" s="16" t="n"/>
      <c r="E252" s="18" t="n"/>
      <c r="F252" s="19" t="n"/>
      <c r="G252" s="6">
        <f>IF(OR(A252="",E252=""),"",E252*IF(F252="",1,F252))</f>
        <v/>
      </c>
      <c r="H252">
        <f>IF(A252="","",YEAR(A252))</f>
        <v/>
      </c>
      <c r="I252">
        <f>IF(A252="","",IF(MONTH(A252)&lt;=3,1,IF(MONTH(A252)&lt;=5,2,IF(MONTH(A252)&lt;=8,3,4))))</f>
        <v/>
      </c>
      <c r="J252">
        <f>IF(A252="","",MONTH(A252))</f>
        <v/>
      </c>
    </row>
    <row r="253">
      <c r="A253" s="15" t="n"/>
      <c r="B253" s="16" t="n"/>
      <c r="C253" s="16" t="n"/>
      <c r="D253" s="16" t="n"/>
      <c r="E253" s="18" t="n"/>
      <c r="F253" s="19" t="n"/>
      <c r="G253" s="6">
        <f>IF(OR(A253="",E253=""),"",E253*IF(F253="",1,F253))</f>
        <v/>
      </c>
      <c r="H253">
        <f>IF(A253="","",YEAR(A253))</f>
        <v/>
      </c>
      <c r="I253">
        <f>IF(A253="","",IF(MONTH(A253)&lt;=3,1,IF(MONTH(A253)&lt;=5,2,IF(MONTH(A253)&lt;=8,3,4))))</f>
        <v/>
      </c>
      <c r="J253">
        <f>IF(A253="","",MONTH(A253))</f>
        <v/>
      </c>
    </row>
    <row r="254">
      <c r="A254" s="15" t="n"/>
      <c r="B254" s="16" t="n"/>
      <c r="C254" s="16" t="n"/>
      <c r="D254" s="16" t="n"/>
      <c r="E254" s="18" t="n"/>
      <c r="F254" s="19" t="n"/>
      <c r="G254" s="6">
        <f>IF(OR(A254="",E254=""),"",E254*IF(F254="",1,F254))</f>
        <v/>
      </c>
      <c r="H254">
        <f>IF(A254="","",YEAR(A254))</f>
        <v/>
      </c>
      <c r="I254">
        <f>IF(A254="","",IF(MONTH(A254)&lt;=3,1,IF(MONTH(A254)&lt;=5,2,IF(MONTH(A254)&lt;=8,3,4))))</f>
        <v/>
      </c>
      <c r="J254">
        <f>IF(A254="","",MONTH(A254))</f>
        <v/>
      </c>
    </row>
    <row r="255">
      <c r="A255" s="15" t="n"/>
      <c r="B255" s="16" t="n"/>
      <c r="C255" s="16" t="n"/>
      <c r="D255" s="16" t="n"/>
      <c r="E255" s="18" t="n"/>
      <c r="F255" s="19" t="n"/>
      <c r="G255" s="6">
        <f>IF(OR(A255="",E255=""),"",E255*IF(F255="",1,F255))</f>
        <v/>
      </c>
      <c r="H255">
        <f>IF(A255="","",YEAR(A255))</f>
        <v/>
      </c>
      <c r="I255">
        <f>IF(A255="","",IF(MONTH(A255)&lt;=3,1,IF(MONTH(A255)&lt;=5,2,IF(MONTH(A255)&lt;=8,3,4))))</f>
        <v/>
      </c>
      <c r="J255">
        <f>IF(A255="","",MONTH(A255))</f>
        <v/>
      </c>
    </row>
    <row r="256">
      <c r="A256" s="15" t="n"/>
      <c r="B256" s="16" t="n"/>
      <c r="C256" s="16" t="n"/>
      <c r="D256" s="16" t="n"/>
      <c r="E256" s="18" t="n"/>
      <c r="F256" s="19" t="n"/>
      <c r="G256" s="6">
        <f>IF(OR(A256="",E256=""),"",E256*IF(F256="",1,F256))</f>
        <v/>
      </c>
      <c r="H256">
        <f>IF(A256="","",YEAR(A256))</f>
        <v/>
      </c>
      <c r="I256">
        <f>IF(A256="","",IF(MONTH(A256)&lt;=3,1,IF(MONTH(A256)&lt;=5,2,IF(MONTH(A256)&lt;=8,3,4))))</f>
        <v/>
      </c>
      <c r="J256">
        <f>IF(A256="","",MONTH(A256))</f>
        <v/>
      </c>
    </row>
    <row r="257">
      <c r="A257" s="15" t="n"/>
      <c r="B257" s="16" t="n"/>
      <c r="C257" s="16" t="n"/>
      <c r="D257" s="16" t="n"/>
      <c r="E257" s="18" t="n"/>
      <c r="F257" s="19" t="n"/>
      <c r="G257" s="6">
        <f>IF(OR(A257="",E257=""),"",E257*IF(F257="",1,F257))</f>
        <v/>
      </c>
      <c r="H257">
        <f>IF(A257="","",YEAR(A257))</f>
        <v/>
      </c>
      <c r="I257">
        <f>IF(A257="","",IF(MONTH(A257)&lt;=3,1,IF(MONTH(A257)&lt;=5,2,IF(MONTH(A257)&lt;=8,3,4))))</f>
        <v/>
      </c>
      <c r="J257">
        <f>IF(A257="","",MONTH(A257))</f>
        <v/>
      </c>
    </row>
    <row r="258">
      <c r="A258" s="15" t="n"/>
      <c r="B258" s="16" t="n"/>
      <c r="C258" s="16" t="n"/>
      <c r="D258" s="16" t="n"/>
      <c r="E258" s="18" t="n"/>
      <c r="F258" s="19" t="n"/>
      <c r="G258" s="6">
        <f>IF(OR(A258="",E258=""),"",E258*IF(F258="",1,F258))</f>
        <v/>
      </c>
      <c r="H258">
        <f>IF(A258="","",YEAR(A258))</f>
        <v/>
      </c>
      <c r="I258">
        <f>IF(A258="","",IF(MONTH(A258)&lt;=3,1,IF(MONTH(A258)&lt;=5,2,IF(MONTH(A258)&lt;=8,3,4))))</f>
        <v/>
      </c>
      <c r="J258">
        <f>IF(A258="","",MONTH(A258))</f>
        <v/>
      </c>
    </row>
    <row r="259">
      <c r="A259" s="15" t="n"/>
      <c r="B259" s="16" t="n"/>
      <c r="C259" s="16" t="n"/>
      <c r="D259" s="16" t="n"/>
      <c r="E259" s="18" t="n"/>
      <c r="F259" s="19" t="n"/>
      <c r="G259" s="6">
        <f>IF(OR(A259="",E259=""),"",E259*IF(F259="",1,F259))</f>
        <v/>
      </c>
      <c r="H259">
        <f>IF(A259="","",YEAR(A259))</f>
        <v/>
      </c>
      <c r="I259">
        <f>IF(A259="","",IF(MONTH(A259)&lt;=3,1,IF(MONTH(A259)&lt;=5,2,IF(MONTH(A259)&lt;=8,3,4))))</f>
        <v/>
      </c>
      <c r="J259">
        <f>IF(A259="","",MONTH(A259))</f>
        <v/>
      </c>
    </row>
    <row r="260">
      <c r="A260" s="15" t="n"/>
      <c r="B260" s="16" t="n"/>
      <c r="C260" s="16" t="n"/>
      <c r="D260" s="16" t="n"/>
      <c r="E260" s="18" t="n"/>
      <c r="F260" s="19" t="n"/>
      <c r="G260" s="6">
        <f>IF(OR(A260="",E260=""),"",E260*IF(F260="",1,F260))</f>
        <v/>
      </c>
      <c r="H260">
        <f>IF(A260="","",YEAR(A260))</f>
        <v/>
      </c>
      <c r="I260">
        <f>IF(A260="","",IF(MONTH(A260)&lt;=3,1,IF(MONTH(A260)&lt;=5,2,IF(MONTH(A260)&lt;=8,3,4))))</f>
        <v/>
      </c>
      <c r="J260">
        <f>IF(A260="","",MONTH(A260))</f>
        <v/>
      </c>
    </row>
    <row r="261">
      <c r="A261" s="15" t="n"/>
      <c r="B261" s="16" t="n"/>
      <c r="C261" s="16" t="n"/>
      <c r="D261" s="16" t="n"/>
      <c r="E261" s="18" t="n"/>
      <c r="F261" s="19" t="n"/>
      <c r="G261" s="6">
        <f>IF(OR(A261="",E261=""),"",E261*IF(F261="",1,F261))</f>
        <v/>
      </c>
      <c r="H261">
        <f>IF(A261="","",YEAR(A261))</f>
        <v/>
      </c>
      <c r="I261">
        <f>IF(A261="","",IF(MONTH(A261)&lt;=3,1,IF(MONTH(A261)&lt;=5,2,IF(MONTH(A261)&lt;=8,3,4))))</f>
        <v/>
      </c>
      <c r="J261">
        <f>IF(A261="","",MONTH(A261))</f>
        <v/>
      </c>
    </row>
    <row r="262">
      <c r="A262" s="15" t="n"/>
      <c r="B262" s="16" t="n"/>
      <c r="C262" s="16" t="n"/>
      <c r="D262" s="16" t="n"/>
      <c r="E262" s="18" t="n"/>
      <c r="F262" s="19" t="n"/>
      <c r="G262" s="6">
        <f>IF(OR(A262="",E262=""),"",E262*IF(F262="",1,F262))</f>
        <v/>
      </c>
      <c r="H262">
        <f>IF(A262="","",YEAR(A262))</f>
        <v/>
      </c>
      <c r="I262">
        <f>IF(A262="","",IF(MONTH(A262)&lt;=3,1,IF(MONTH(A262)&lt;=5,2,IF(MONTH(A262)&lt;=8,3,4))))</f>
        <v/>
      </c>
      <c r="J262">
        <f>IF(A262="","",MONTH(A262))</f>
        <v/>
      </c>
    </row>
    <row r="263">
      <c r="A263" s="15" t="n"/>
      <c r="B263" s="16" t="n"/>
      <c r="C263" s="16" t="n"/>
      <c r="D263" s="16" t="n"/>
      <c r="E263" s="18" t="n"/>
      <c r="F263" s="19" t="n"/>
      <c r="G263" s="6">
        <f>IF(OR(A263="",E263=""),"",E263*IF(F263="",1,F263))</f>
        <v/>
      </c>
      <c r="H263">
        <f>IF(A263="","",YEAR(A263))</f>
        <v/>
      </c>
      <c r="I263">
        <f>IF(A263="","",IF(MONTH(A263)&lt;=3,1,IF(MONTH(A263)&lt;=5,2,IF(MONTH(A263)&lt;=8,3,4))))</f>
        <v/>
      </c>
      <c r="J263">
        <f>IF(A263="","",MONTH(A263))</f>
        <v/>
      </c>
    </row>
    <row r="264">
      <c r="A264" s="15" t="n"/>
      <c r="B264" s="16" t="n"/>
      <c r="C264" s="16" t="n"/>
      <c r="D264" s="16" t="n"/>
      <c r="E264" s="18" t="n"/>
      <c r="F264" s="19" t="n"/>
      <c r="G264" s="6">
        <f>IF(OR(A264="",E264=""),"",E264*IF(F264="",1,F264))</f>
        <v/>
      </c>
      <c r="H264">
        <f>IF(A264="","",YEAR(A264))</f>
        <v/>
      </c>
      <c r="I264">
        <f>IF(A264="","",IF(MONTH(A264)&lt;=3,1,IF(MONTH(A264)&lt;=5,2,IF(MONTH(A264)&lt;=8,3,4))))</f>
        <v/>
      </c>
      <c r="J264">
        <f>IF(A264="","",MONTH(A264))</f>
        <v/>
      </c>
    </row>
    <row r="265">
      <c r="A265" s="15" t="n"/>
      <c r="B265" s="16" t="n"/>
      <c r="C265" s="16" t="n"/>
      <c r="D265" s="16" t="n"/>
      <c r="E265" s="18" t="n"/>
      <c r="F265" s="19" t="n"/>
      <c r="G265" s="6">
        <f>IF(OR(A265="",E265=""),"",E265*IF(F265="",1,F265))</f>
        <v/>
      </c>
      <c r="H265">
        <f>IF(A265="","",YEAR(A265))</f>
        <v/>
      </c>
      <c r="I265">
        <f>IF(A265="","",IF(MONTH(A265)&lt;=3,1,IF(MONTH(A265)&lt;=5,2,IF(MONTH(A265)&lt;=8,3,4))))</f>
        <v/>
      </c>
      <c r="J265">
        <f>IF(A265="","",MONTH(A265))</f>
        <v/>
      </c>
    </row>
    <row r="266">
      <c r="A266" s="15" t="n"/>
      <c r="B266" s="16" t="n"/>
      <c r="C266" s="16" t="n"/>
      <c r="D266" s="16" t="n"/>
      <c r="E266" s="18" t="n"/>
      <c r="F266" s="19" t="n"/>
      <c r="G266" s="6">
        <f>IF(OR(A266="",E266=""),"",E266*IF(F266="",1,F266))</f>
        <v/>
      </c>
      <c r="H266">
        <f>IF(A266="","",YEAR(A266))</f>
        <v/>
      </c>
      <c r="I266">
        <f>IF(A266="","",IF(MONTH(A266)&lt;=3,1,IF(MONTH(A266)&lt;=5,2,IF(MONTH(A266)&lt;=8,3,4))))</f>
        <v/>
      </c>
      <c r="J266">
        <f>IF(A266="","",MONTH(A266))</f>
        <v/>
      </c>
    </row>
    <row r="267">
      <c r="A267" s="15" t="n"/>
      <c r="B267" s="16" t="n"/>
      <c r="C267" s="16" t="n"/>
      <c r="D267" s="16" t="n"/>
      <c r="E267" s="18" t="n"/>
      <c r="F267" s="19" t="n"/>
      <c r="G267" s="6">
        <f>IF(OR(A267="",E267=""),"",E267*IF(F267="",1,F267))</f>
        <v/>
      </c>
      <c r="H267">
        <f>IF(A267="","",YEAR(A267))</f>
        <v/>
      </c>
      <c r="I267">
        <f>IF(A267="","",IF(MONTH(A267)&lt;=3,1,IF(MONTH(A267)&lt;=5,2,IF(MONTH(A267)&lt;=8,3,4))))</f>
        <v/>
      </c>
      <c r="J267">
        <f>IF(A267="","",MONTH(A267))</f>
        <v/>
      </c>
    </row>
    <row r="268">
      <c r="A268" s="15" t="n"/>
      <c r="B268" s="16" t="n"/>
      <c r="C268" s="16" t="n"/>
      <c r="D268" s="16" t="n"/>
      <c r="E268" s="18" t="n"/>
      <c r="F268" s="19" t="n"/>
      <c r="G268" s="6">
        <f>IF(OR(A268="",E268=""),"",E268*IF(F268="",1,F268))</f>
        <v/>
      </c>
      <c r="H268">
        <f>IF(A268="","",YEAR(A268))</f>
        <v/>
      </c>
      <c r="I268">
        <f>IF(A268="","",IF(MONTH(A268)&lt;=3,1,IF(MONTH(A268)&lt;=5,2,IF(MONTH(A268)&lt;=8,3,4))))</f>
        <v/>
      </c>
      <c r="J268">
        <f>IF(A268="","",MONTH(A268))</f>
        <v/>
      </c>
    </row>
    <row r="269">
      <c r="A269" s="15" t="n"/>
      <c r="B269" s="16" t="n"/>
      <c r="C269" s="16" t="n"/>
      <c r="D269" s="16" t="n"/>
      <c r="E269" s="18" t="n"/>
      <c r="F269" s="19" t="n"/>
      <c r="G269" s="6">
        <f>IF(OR(A269="",E269=""),"",E269*IF(F269="",1,F269))</f>
        <v/>
      </c>
      <c r="H269">
        <f>IF(A269="","",YEAR(A269))</f>
        <v/>
      </c>
      <c r="I269">
        <f>IF(A269="","",IF(MONTH(A269)&lt;=3,1,IF(MONTH(A269)&lt;=5,2,IF(MONTH(A269)&lt;=8,3,4))))</f>
        <v/>
      </c>
      <c r="J269">
        <f>IF(A269="","",MONTH(A269))</f>
        <v/>
      </c>
    </row>
    <row r="270">
      <c r="A270" s="15" t="n"/>
      <c r="B270" s="16" t="n"/>
      <c r="C270" s="16" t="n"/>
      <c r="D270" s="16" t="n"/>
      <c r="E270" s="18" t="n"/>
      <c r="F270" s="19" t="n"/>
      <c r="G270" s="6">
        <f>IF(OR(A270="",E270=""),"",E270*IF(F270="",1,F270))</f>
        <v/>
      </c>
      <c r="H270">
        <f>IF(A270="","",YEAR(A270))</f>
        <v/>
      </c>
      <c r="I270">
        <f>IF(A270="","",IF(MONTH(A270)&lt;=3,1,IF(MONTH(A270)&lt;=5,2,IF(MONTH(A270)&lt;=8,3,4))))</f>
        <v/>
      </c>
      <c r="J270">
        <f>IF(A270="","",MONTH(A270))</f>
        <v/>
      </c>
    </row>
    <row r="271">
      <c r="A271" s="15" t="n"/>
      <c r="B271" s="16" t="n"/>
      <c r="C271" s="16" t="n"/>
      <c r="D271" s="16" t="n"/>
      <c r="E271" s="18" t="n"/>
      <c r="F271" s="19" t="n"/>
      <c r="G271" s="6">
        <f>IF(OR(A271="",E271=""),"",E271*IF(F271="",1,F271))</f>
        <v/>
      </c>
      <c r="H271">
        <f>IF(A271="","",YEAR(A271))</f>
        <v/>
      </c>
      <c r="I271">
        <f>IF(A271="","",IF(MONTH(A271)&lt;=3,1,IF(MONTH(A271)&lt;=5,2,IF(MONTH(A271)&lt;=8,3,4))))</f>
        <v/>
      </c>
      <c r="J271">
        <f>IF(A271="","",MONTH(A271))</f>
        <v/>
      </c>
    </row>
    <row r="272">
      <c r="A272" s="15" t="n"/>
      <c r="B272" s="16" t="n"/>
      <c r="C272" s="16" t="n"/>
      <c r="D272" s="16" t="n"/>
      <c r="E272" s="18" t="n"/>
      <c r="F272" s="19" t="n"/>
      <c r="G272" s="6">
        <f>IF(OR(A272="",E272=""),"",E272*IF(F272="",1,F272))</f>
        <v/>
      </c>
      <c r="H272">
        <f>IF(A272="","",YEAR(A272))</f>
        <v/>
      </c>
      <c r="I272">
        <f>IF(A272="","",IF(MONTH(A272)&lt;=3,1,IF(MONTH(A272)&lt;=5,2,IF(MONTH(A272)&lt;=8,3,4))))</f>
        <v/>
      </c>
      <c r="J272">
        <f>IF(A272="","",MONTH(A272))</f>
        <v/>
      </c>
    </row>
    <row r="273">
      <c r="A273" s="15" t="n"/>
      <c r="B273" s="16" t="n"/>
      <c r="C273" s="16" t="n"/>
      <c r="D273" s="16" t="n"/>
      <c r="E273" s="18" t="n"/>
      <c r="F273" s="19" t="n"/>
      <c r="G273" s="6">
        <f>IF(OR(A273="",E273=""),"",E273*IF(F273="",1,F273))</f>
        <v/>
      </c>
      <c r="H273">
        <f>IF(A273="","",YEAR(A273))</f>
        <v/>
      </c>
      <c r="I273">
        <f>IF(A273="","",IF(MONTH(A273)&lt;=3,1,IF(MONTH(A273)&lt;=5,2,IF(MONTH(A273)&lt;=8,3,4))))</f>
        <v/>
      </c>
      <c r="J273">
        <f>IF(A273="","",MONTH(A273))</f>
        <v/>
      </c>
    </row>
    <row r="274">
      <c r="A274" s="15" t="n"/>
      <c r="B274" s="16" t="n"/>
      <c r="C274" s="16" t="n"/>
      <c r="D274" s="16" t="n"/>
      <c r="E274" s="18" t="n"/>
      <c r="F274" s="19" t="n"/>
      <c r="G274" s="6">
        <f>IF(OR(A274="",E274=""),"",E274*IF(F274="",1,F274))</f>
        <v/>
      </c>
      <c r="H274">
        <f>IF(A274="","",YEAR(A274))</f>
        <v/>
      </c>
      <c r="I274">
        <f>IF(A274="","",IF(MONTH(A274)&lt;=3,1,IF(MONTH(A274)&lt;=5,2,IF(MONTH(A274)&lt;=8,3,4))))</f>
        <v/>
      </c>
      <c r="J274">
        <f>IF(A274="","",MONTH(A274))</f>
        <v/>
      </c>
    </row>
    <row r="275">
      <c r="A275" s="15" t="n"/>
      <c r="B275" s="16" t="n"/>
      <c r="C275" s="16" t="n"/>
      <c r="D275" s="16" t="n"/>
      <c r="E275" s="18" t="n"/>
      <c r="F275" s="19" t="n"/>
      <c r="G275" s="6">
        <f>IF(OR(A275="",E275=""),"",E275*IF(F275="",1,F275))</f>
        <v/>
      </c>
      <c r="H275">
        <f>IF(A275="","",YEAR(A275))</f>
        <v/>
      </c>
      <c r="I275">
        <f>IF(A275="","",IF(MONTH(A275)&lt;=3,1,IF(MONTH(A275)&lt;=5,2,IF(MONTH(A275)&lt;=8,3,4))))</f>
        <v/>
      </c>
      <c r="J275">
        <f>IF(A275="","",MONTH(A275))</f>
        <v/>
      </c>
    </row>
    <row r="276">
      <c r="A276" s="15" t="n"/>
      <c r="B276" s="16" t="n"/>
      <c r="C276" s="16" t="n"/>
      <c r="D276" s="16" t="n"/>
      <c r="E276" s="18" t="n"/>
      <c r="F276" s="19" t="n"/>
      <c r="G276" s="6">
        <f>IF(OR(A276="",E276=""),"",E276*IF(F276="",1,F276))</f>
        <v/>
      </c>
      <c r="H276">
        <f>IF(A276="","",YEAR(A276))</f>
        <v/>
      </c>
      <c r="I276">
        <f>IF(A276="","",IF(MONTH(A276)&lt;=3,1,IF(MONTH(A276)&lt;=5,2,IF(MONTH(A276)&lt;=8,3,4))))</f>
        <v/>
      </c>
      <c r="J276">
        <f>IF(A276="","",MONTH(A276))</f>
        <v/>
      </c>
    </row>
    <row r="277">
      <c r="A277" s="15" t="n"/>
      <c r="B277" s="16" t="n"/>
      <c r="C277" s="16" t="n"/>
      <c r="D277" s="16" t="n"/>
      <c r="E277" s="18" t="n"/>
      <c r="F277" s="19" t="n"/>
      <c r="G277" s="6">
        <f>IF(OR(A277="",E277=""),"",E277*IF(F277="",1,F277))</f>
        <v/>
      </c>
      <c r="H277">
        <f>IF(A277="","",YEAR(A277))</f>
        <v/>
      </c>
      <c r="I277">
        <f>IF(A277="","",IF(MONTH(A277)&lt;=3,1,IF(MONTH(A277)&lt;=5,2,IF(MONTH(A277)&lt;=8,3,4))))</f>
        <v/>
      </c>
      <c r="J277">
        <f>IF(A277="","",MONTH(A277))</f>
        <v/>
      </c>
    </row>
    <row r="278">
      <c r="A278" s="15" t="n"/>
      <c r="B278" s="16" t="n"/>
      <c r="C278" s="16" t="n"/>
      <c r="D278" s="16" t="n"/>
      <c r="E278" s="18" t="n"/>
      <c r="F278" s="19" t="n"/>
      <c r="G278" s="6">
        <f>IF(OR(A278="",E278=""),"",E278*IF(F278="",1,F278))</f>
        <v/>
      </c>
      <c r="H278">
        <f>IF(A278="","",YEAR(A278))</f>
        <v/>
      </c>
      <c r="I278">
        <f>IF(A278="","",IF(MONTH(A278)&lt;=3,1,IF(MONTH(A278)&lt;=5,2,IF(MONTH(A278)&lt;=8,3,4))))</f>
        <v/>
      </c>
      <c r="J278">
        <f>IF(A278="","",MONTH(A278))</f>
        <v/>
      </c>
    </row>
    <row r="279">
      <c r="A279" s="15" t="n"/>
      <c r="B279" s="16" t="n"/>
      <c r="C279" s="16" t="n"/>
      <c r="D279" s="16" t="n"/>
      <c r="E279" s="18" t="n"/>
      <c r="F279" s="19" t="n"/>
      <c r="G279" s="6">
        <f>IF(OR(A279="",E279=""),"",E279*IF(F279="",1,F279))</f>
        <v/>
      </c>
      <c r="H279">
        <f>IF(A279="","",YEAR(A279))</f>
        <v/>
      </c>
      <c r="I279">
        <f>IF(A279="","",IF(MONTH(A279)&lt;=3,1,IF(MONTH(A279)&lt;=5,2,IF(MONTH(A279)&lt;=8,3,4))))</f>
        <v/>
      </c>
      <c r="J279">
        <f>IF(A279="","",MONTH(A279))</f>
        <v/>
      </c>
    </row>
    <row r="280">
      <c r="A280" s="15" t="n"/>
      <c r="B280" s="16" t="n"/>
      <c r="C280" s="16" t="n"/>
      <c r="D280" s="16" t="n"/>
      <c r="E280" s="18" t="n"/>
      <c r="F280" s="19" t="n"/>
      <c r="G280" s="6">
        <f>IF(OR(A280="",E280=""),"",E280*IF(F280="",1,F280))</f>
        <v/>
      </c>
      <c r="H280">
        <f>IF(A280="","",YEAR(A280))</f>
        <v/>
      </c>
      <c r="I280">
        <f>IF(A280="","",IF(MONTH(A280)&lt;=3,1,IF(MONTH(A280)&lt;=5,2,IF(MONTH(A280)&lt;=8,3,4))))</f>
        <v/>
      </c>
      <c r="J280">
        <f>IF(A280="","",MONTH(A280))</f>
        <v/>
      </c>
    </row>
    <row r="281">
      <c r="A281" s="15" t="n"/>
      <c r="B281" s="16" t="n"/>
      <c r="C281" s="16" t="n"/>
      <c r="D281" s="16" t="n"/>
      <c r="E281" s="18" t="n"/>
      <c r="F281" s="19" t="n"/>
      <c r="G281" s="6">
        <f>IF(OR(A281="",E281=""),"",E281*IF(F281="",1,F281))</f>
        <v/>
      </c>
      <c r="H281">
        <f>IF(A281="","",YEAR(A281))</f>
        <v/>
      </c>
      <c r="I281">
        <f>IF(A281="","",IF(MONTH(A281)&lt;=3,1,IF(MONTH(A281)&lt;=5,2,IF(MONTH(A281)&lt;=8,3,4))))</f>
        <v/>
      </c>
      <c r="J281">
        <f>IF(A281="","",MONTH(A281))</f>
        <v/>
      </c>
    </row>
    <row r="282">
      <c r="A282" s="15" t="n"/>
      <c r="B282" s="16" t="n"/>
      <c r="C282" s="16" t="n"/>
      <c r="D282" s="16" t="n"/>
      <c r="E282" s="18" t="n"/>
      <c r="F282" s="19" t="n"/>
      <c r="G282" s="6">
        <f>IF(OR(A282="",E282=""),"",E282*IF(F282="",1,F282))</f>
        <v/>
      </c>
      <c r="H282">
        <f>IF(A282="","",YEAR(A282))</f>
        <v/>
      </c>
      <c r="I282">
        <f>IF(A282="","",IF(MONTH(A282)&lt;=3,1,IF(MONTH(A282)&lt;=5,2,IF(MONTH(A282)&lt;=8,3,4))))</f>
        <v/>
      </c>
      <c r="J282">
        <f>IF(A282="","",MONTH(A282))</f>
        <v/>
      </c>
    </row>
    <row r="283">
      <c r="A283" s="15" t="n"/>
      <c r="B283" s="16" t="n"/>
      <c r="C283" s="16" t="n"/>
      <c r="D283" s="16" t="n"/>
      <c r="E283" s="18" t="n"/>
      <c r="F283" s="19" t="n"/>
      <c r="G283" s="6">
        <f>IF(OR(A283="",E283=""),"",E283*IF(F283="",1,F283))</f>
        <v/>
      </c>
      <c r="H283">
        <f>IF(A283="","",YEAR(A283))</f>
        <v/>
      </c>
      <c r="I283">
        <f>IF(A283="","",IF(MONTH(A283)&lt;=3,1,IF(MONTH(A283)&lt;=5,2,IF(MONTH(A283)&lt;=8,3,4))))</f>
        <v/>
      </c>
      <c r="J283">
        <f>IF(A283="","",MONTH(A283))</f>
        <v/>
      </c>
    </row>
    <row r="284">
      <c r="A284" s="15" t="n"/>
      <c r="B284" s="16" t="n"/>
      <c r="C284" s="16" t="n"/>
      <c r="D284" s="16" t="n"/>
      <c r="E284" s="18" t="n"/>
      <c r="F284" s="19" t="n"/>
      <c r="G284" s="6">
        <f>IF(OR(A284="",E284=""),"",E284*IF(F284="",1,F284))</f>
        <v/>
      </c>
      <c r="H284">
        <f>IF(A284="","",YEAR(A284))</f>
        <v/>
      </c>
      <c r="I284">
        <f>IF(A284="","",IF(MONTH(A284)&lt;=3,1,IF(MONTH(A284)&lt;=5,2,IF(MONTH(A284)&lt;=8,3,4))))</f>
        <v/>
      </c>
      <c r="J284">
        <f>IF(A284="","",MONTH(A284))</f>
        <v/>
      </c>
    </row>
    <row r="285">
      <c r="A285" s="15" t="n"/>
      <c r="B285" s="16" t="n"/>
      <c r="C285" s="16" t="n"/>
      <c r="D285" s="16" t="n"/>
      <c r="E285" s="18" t="n"/>
      <c r="F285" s="19" t="n"/>
      <c r="G285" s="6">
        <f>IF(OR(A285="",E285=""),"",E285*IF(F285="",1,F285))</f>
        <v/>
      </c>
      <c r="H285">
        <f>IF(A285="","",YEAR(A285))</f>
        <v/>
      </c>
      <c r="I285">
        <f>IF(A285="","",IF(MONTH(A285)&lt;=3,1,IF(MONTH(A285)&lt;=5,2,IF(MONTH(A285)&lt;=8,3,4))))</f>
        <v/>
      </c>
      <c r="J285">
        <f>IF(A285="","",MONTH(A285))</f>
        <v/>
      </c>
    </row>
    <row r="286">
      <c r="A286" s="15" t="n"/>
      <c r="B286" s="16" t="n"/>
      <c r="C286" s="16" t="n"/>
      <c r="D286" s="16" t="n"/>
      <c r="E286" s="18" t="n"/>
      <c r="F286" s="19" t="n"/>
      <c r="G286" s="6">
        <f>IF(OR(A286="",E286=""),"",E286*IF(F286="",1,F286))</f>
        <v/>
      </c>
      <c r="H286">
        <f>IF(A286="","",YEAR(A286))</f>
        <v/>
      </c>
      <c r="I286">
        <f>IF(A286="","",IF(MONTH(A286)&lt;=3,1,IF(MONTH(A286)&lt;=5,2,IF(MONTH(A286)&lt;=8,3,4))))</f>
        <v/>
      </c>
      <c r="J286">
        <f>IF(A286="","",MONTH(A286))</f>
        <v/>
      </c>
    </row>
    <row r="287">
      <c r="A287" s="15" t="n"/>
      <c r="B287" s="16" t="n"/>
      <c r="C287" s="16" t="n"/>
      <c r="D287" s="16" t="n"/>
      <c r="E287" s="18" t="n"/>
      <c r="F287" s="19" t="n"/>
      <c r="G287" s="6">
        <f>IF(OR(A287="",E287=""),"",E287*IF(F287="",1,F287))</f>
        <v/>
      </c>
      <c r="H287">
        <f>IF(A287="","",YEAR(A287))</f>
        <v/>
      </c>
      <c r="I287">
        <f>IF(A287="","",IF(MONTH(A287)&lt;=3,1,IF(MONTH(A287)&lt;=5,2,IF(MONTH(A287)&lt;=8,3,4))))</f>
        <v/>
      </c>
      <c r="J287">
        <f>IF(A287="","",MONTH(A287))</f>
        <v/>
      </c>
    </row>
    <row r="288">
      <c r="A288" s="15" t="n"/>
      <c r="B288" s="16" t="n"/>
      <c r="C288" s="16" t="n"/>
      <c r="D288" s="16" t="n"/>
      <c r="E288" s="18" t="n"/>
      <c r="F288" s="19" t="n"/>
      <c r="G288" s="6">
        <f>IF(OR(A288="",E288=""),"",E288*IF(F288="",1,F288))</f>
        <v/>
      </c>
      <c r="H288">
        <f>IF(A288="","",YEAR(A288))</f>
        <v/>
      </c>
      <c r="I288">
        <f>IF(A288="","",IF(MONTH(A288)&lt;=3,1,IF(MONTH(A288)&lt;=5,2,IF(MONTH(A288)&lt;=8,3,4))))</f>
        <v/>
      </c>
      <c r="J288">
        <f>IF(A288="","",MONTH(A288))</f>
        <v/>
      </c>
    </row>
    <row r="289">
      <c r="A289" s="15" t="n"/>
      <c r="B289" s="16" t="n"/>
      <c r="C289" s="16" t="n"/>
      <c r="D289" s="16" t="n"/>
      <c r="E289" s="18" t="n"/>
      <c r="F289" s="19" t="n"/>
      <c r="G289" s="6">
        <f>IF(OR(A289="",E289=""),"",E289*IF(F289="",1,F289))</f>
        <v/>
      </c>
      <c r="H289">
        <f>IF(A289="","",YEAR(A289))</f>
        <v/>
      </c>
      <c r="I289">
        <f>IF(A289="","",IF(MONTH(A289)&lt;=3,1,IF(MONTH(A289)&lt;=5,2,IF(MONTH(A289)&lt;=8,3,4))))</f>
        <v/>
      </c>
      <c r="J289">
        <f>IF(A289="","",MONTH(A289))</f>
        <v/>
      </c>
    </row>
    <row r="290">
      <c r="A290" s="15" t="n"/>
      <c r="B290" s="16" t="n"/>
      <c r="C290" s="16" t="n"/>
      <c r="D290" s="16" t="n"/>
      <c r="E290" s="18" t="n"/>
      <c r="F290" s="19" t="n"/>
      <c r="G290" s="6">
        <f>IF(OR(A290="",E290=""),"",E290*IF(F290="",1,F290))</f>
        <v/>
      </c>
      <c r="H290">
        <f>IF(A290="","",YEAR(A290))</f>
        <v/>
      </c>
      <c r="I290">
        <f>IF(A290="","",IF(MONTH(A290)&lt;=3,1,IF(MONTH(A290)&lt;=5,2,IF(MONTH(A290)&lt;=8,3,4))))</f>
        <v/>
      </c>
      <c r="J290">
        <f>IF(A290="","",MONTH(A290))</f>
        <v/>
      </c>
    </row>
    <row r="291">
      <c r="A291" s="15" t="n"/>
      <c r="B291" s="16" t="n"/>
      <c r="C291" s="16" t="n"/>
      <c r="D291" s="16" t="n"/>
      <c r="E291" s="18" t="n"/>
      <c r="F291" s="19" t="n"/>
      <c r="G291" s="6">
        <f>IF(OR(A291="",E291=""),"",E291*IF(F291="",1,F291))</f>
        <v/>
      </c>
      <c r="H291">
        <f>IF(A291="","",YEAR(A291))</f>
        <v/>
      </c>
      <c r="I291">
        <f>IF(A291="","",IF(MONTH(A291)&lt;=3,1,IF(MONTH(A291)&lt;=5,2,IF(MONTH(A291)&lt;=8,3,4))))</f>
        <v/>
      </c>
      <c r="J291">
        <f>IF(A291="","",MONTH(A291))</f>
        <v/>
      </c>
    </row>
    <row r="292">
      <c r="A292" s="15" t="n"/>
      <c r="B292" s="16" t="n"/>
      <c r="C292" s="16" t="n"/>
      <c r="D292" s="16" t="n"/>
      <c r="E292" s="18" t="n"/>
      <c r="F292" s="19" t="n"/>
      <c r="G292" s="6">
        <f>IF(OR(A292="",E292=""),"",E292*IF(F292="",1,F292))</f>
        <v/>
      </c>
      <c r="H292">
        <f>IF(A292="","",YEAR(A292))</f>
        <v/>
      </c>
      <c r="I292">
        <f>IF(A292="","",IF(MONTH(A292)&lt;=3,1,IF(MONTH(A292)&lt;=5,2,IF(MONTH(A292)&lt;=8,3,4))))</f>
        <v/>
      </c>
      <c r="J292">
        <f>IF(A292="","",MONTH(A292))</f>
        <v/>
      </c>
    </row>
    <row r="293">
      <c r="A293" s="15" t="n"/>
      <c r="B293" s="16" t="n"/>
      <c r="C293" s="16" t="n"/>
      <c r="D293" s="16" t="n"/>
      <c r="E293" s="18" t="n"/>
      <c r="F293" s="19" t="n"/>
      <c r="G293" s="6">
        <f>IF(OR(A293="",E293=""),"",E293*IF(F293="",1,F293))</f>
        <v/>
      </c>
      <c r="H293">
        <f>IF(A293="","",YEAR(A293))</f>
        <v/>
      </c>
      <c r="I293">
        <f>IF(A293="","",IF(MONTH(A293)&lt;=3,1,IF(MONTH(A293)&lt;=5,2,IF(MONTH(A293)&lt;=8,3,4))))</f>
        <v/>
      </c>
      <c r="J293">
        <f>IF(A293="","",MONTH(A293))</f>
        <v/>
      </c>
    </row>
    <row r="294">
      <c r="A294" s="15" t="n"/>
      <c r="B294" s="16" t="n"/>
      <c r="C294" s="16" t="n"/>
      <c r="D294" s="16" t="n"/>
      <c r="E294" s="18" t="n"/>
      <c r="F294" s="19" t="n"/>
      <c r="G294" s="6">
        <f>IF(OR(A294="",E294=""),"",E294*IF(F294="",1,F294))</f>
        <v/>
      </c>
      <c r="H294">
        <f>IF(A294="","",YEAR(A294))</f>
        <v/>
      </c>
      <c r="I294">
        <f>IF(A294="","",IF(MONTH(A294)&lt;=3,1,IF(MONTH(A294)&lt;=5,2,IF(MONTH(A294)&lt;=8,3,4))))</f>
        <v/>
      </c>
      <c r="J294">
        <f>IF(A294="","",MONTH(A294))</f>
        <v/>
      </c>
    </row>
    <row r="295">
      <c r="A295" s="15" t="n"/>
      <c r="B295" s="16" t="n"/>
      <c r="C295" s="16" t="n"/>
      <c r="D295" s="16" t="n"/>
      <c r="E295" s="18" t="n"/>
      <c r="F295" s="19" t="n"/>
      <c r="G295" s="6">
        <f>IF(OR(A295="",E295=""),"",E295*IF(F295="",1,F295))</f>
        <v/>
      </c>
      <c r="H295">
        <f>IF(A295="","",YEAR(A295))</f>
        <v/>
      </c>
      <c r="I295">
        <f>IF(A295="","",IF(MONTH(A295)&lt;=3,1,IF(MONTH(A295)&lt;=5,2,IF(MONTH(A295)&lt;=8,3,4))))</f>
        <v/>
      </c>
      <c r="J295">
        <f>IF(A295="","",MONTH(A295))</f>
        <v/>
      </c>
    </row>
    <row r="296">
      <c r="A296" s="15" t="n"/>
      <c r="B296" s="16" t="n"/>
      <c r="C296" s="16" t="n"/>
      <c r="D296" s="16" t="n"/>
      <c r="E296" s="18" t="n"/>
      <c r="F296" s="19" t="n"/>
      <c r="G296" s="6">
        <f>IF(OR(A296="",E296=""),"",E296*IF(F296="",1,F296))</f>
        <v/>
      </c>
      <c r="H296">
        <f>IF(A296="","",YEAR(A296))</f>
        <v/>
      </c>
      <c r="I296">
        <f>IF(A296="","",IF(MONTH(A296)&lt;=3,1,IF(MONTH(A296)&lt;=5,2,IF(MONTH(A296)&lt;=8,3,4))))</f>
        <v/>
      </c>
      <c r="J296">
        <f>IF(A296="","",MONTH(A296))</f>
        <v/>
      </c>
    </row>
    <row r="297">
      <c r="A297" s="15" t="n"/>
      <c r="B297" s="16" t="n"/>
      <c r="C297" s="16" t="n"/>
      <c r="D297" s="16" t="n"/>
      <c r="E297" s="18" t="n"/>
      <c r="F297" s="19" t="n"/>
      <c r="G297" s="6">
        <f>IF(OR(A297="",E297=""),"",E297*IF(F297="",1,F297))</f>
        <v/>
      </c>
      <c r="H297">
        <f>IF(A297="","",YEAR(A297))</f>
        <v/>
      </c>
      <c r="I297">
        <f>IF(A297="","",IF(MONTH(A297)&lt;=3,1,IF(MONTH(A297)&lt;=5,2,IF(MONTH(A297)&lt;=8,3,4))))</f>
        <v/>
      </c>
      <c r="J297">
        <f>IF(A297="","",MONTH(A297))</f>
        <v/>
      </c>
    </row>
    <row r="298">
      <c r="A298" s="15" t="n"/>
      <c r="B298" s="16" t="n"/>
      <c r="C298" s="16" t="n"/>
      <c r="D298" s="16" t="n"/>
      <c r="E298" s="18" t="n"/>
      <c r="F298" s="19" t="n"/>
      <c r="G298" s="6">
        <f>IF(OR(A298="",E298=""),"",E298*IF(F298="",1,F298))</f>
        <v/>
      </c>
      <c r="H298">
        <f>IF(A298="","",YEAR(A298))</f>
        <v/>
      </c>
      <c r="I298">
        <f>IF(A298="","",IF(MONTH(A298)&lt;=3,1,IF(MONTH(A298)&lt;=5,2,IF(MONTH(A298)&lt;=8,3,4))))</f>
        <v/>
      </c>
      <c r="J298">
        <f>IF(A298="","",MONTH(A298))</f>
        <v/>
      </c>
    </row>
    <row r="299">
      <c r="A299" s="15" t="n"/>
      <c r="B299" s="16" t="n"/>
      <c r="C299" s="16" t="n"/>
      <c r="D299" s="16" t="n"/>
      <c r="E299" s="18" t="n"/>
      <c r="F299" s="19" t="n"/>
      <c r="G299" s="6">
        <f>IF(OR(A299="",E299=""),"",E299*IF(F299="",1,F299))</f>
        <v/>
      </c>
      <c r="H299">
        <f>IF(A299="","",YEAR(A299))</f>
        <v/>
      </c>
      <c r="I299">
        <f>IF(A299="","",IF(MONTH(A299)&lt;=3,1,IF(MONTH(A299)&lt;=5,2,IF(MONTH(A299)&lt;=8,3,4))))</f>
        <v/>
      </c>
      <c r="J299">
        <f>IF(A299="","",MONTH(A299))</f>
        <v/>
      </c>
    </row>
    <row r="300">
      <c r="A300" s="15" t="n"/>
      <c r="B300" s="16" t="n"/>
      <c r="C300" s="16" t="n"/>
      <c r="D300" s="16" t="n"/>
      <c r="E300" s="18" t="n"/>
      <c r="F300" s="19" t="n"/>
      <c r="G300" s="6">
        <f>IF(OR(A300="",E300=""),"",E300*IF(F300="",1,F300))</f>
        <v/>
      </c>
      <c r="H300">
        <f>IF(A300="","",YEAR(A300))</f>
        <v/>
      </c>
      <c r="I300">
        <f>IF(A300="","",IF(MONTH(A300)&lt;=3,1,IF(MONTH(A300)&lt;=5,2,IF(MONTH(A300)&lt;=8,3,4))))</f>
        <v/>
      </c>
      <c r="J300">
        <f>IF(A300="","",MONTH(A300))</f>
        <v/>
      </c>
    </row>
    <row r="301">
      <c r="A301" s="15" t="n"/>
      <c r="B301" s="16" t="n"/>
      <c r="C301" s="16" t="n"/>
      <c r="D301" s="16" t="n"/>
      <c r="E301" s="18" t="n"/>
      <c r="F301" s="19" t="n"/>
      <c r="G301" s="6">
        <f>IF(OR(A301="",E301=""),"",E301*IF(F301="",1,F301))</f>
        <v/>
      </c>
      <c r="H301">
        <f>IF(A301="","",YEAR(A301))</f>
        <v/>
      </c>
      <c r="I301">
        <f>IF(A301="","",IF(MONTH(A301)&lt;=3,1,IF(MONTH(A301)&lt;=5,2,IF(MONTH(A301)&lt;=8,3,4))))</f>
        <v/>
      </c>
      <c r="J301">
        <f>IF(A301="","",MONTH(A301))</f>
        <v/>
      </c>
    </row>
    <row r="302">
      <c r="A302" s="15" t="n"/>
      <c r="B302" s="16" t="n"/>
      <c r="C302" s="16" t="n"/>
      <c r="D302" s="16" t="n"/>
      <c r="E302" s="18" t="n"/>
      <c r="F302" s="19" t="n"/>
      <c r="G302" s="6">
        <f>IF(OR(A302="",E302=""),"",E302*IF(F302="",1,F302))</f>
        <v/>
      </c>
      <c r="H302">
        <f>IF(A302="","",YEAR(A302))</f>
        <v/>
      </c>
      <c r="I302">
        <f>IF(A302="","",IF(MONTH(A302)&lt;=3,1,IF(MONTH(A302)&lt;=5,2,IF(MONTH(A302)&lt;=8,3,4))))</f>
        <v/>
      </c>
      <c r="J302">
        <f>IF(A302="","",MONTH(A302))</f>
        <v/>
      </c>
    </row>
    <row r="303">
      <c r="A303" s="15" t="n"/>
      <c r="B303" s="16" t="n"/>
      <c r="C303" s="16" t="n"/>
      <c r="D303" s="16" t="n"/>
      <c r="E303" s="18" t="n"/>
      <c r="F303" s="19" t="n"/>
      <c r="G303" s="6">
        <f>IF(OR(A303="",E303=""),"",E303*IF(F303="",1,F303))</f>
        <v/>
      </c>
      <c r="H303">
        <f>IF(A303="","",YEAR(A303))</f>
        <v/>
      </c>
      <c r="I303">
        <f>IF(A303="","",IF(MONTH(A303)&lt;=3,1,IF(MONTH(A303)&lt;=5,2,IF(MONTH(A303)&lt;=8,3,4))))</f>
        <v/>
      </c>
      <c r="J303">
        <f>IF(A303="","",MONTH(A303))</f>
        <v/>
      </c>
    </row>
    <row r="304">
      <c r="A304" s="15" t="n"/>
      <c r="B304" s="16" t="n"/>
      <c r="C304" s="16" t="n"/>
      <c r="D304" s="16" t="n"/>
      <c r="E304" s="18" t="n"/>
      <c r="F304" s="19" t="n"/>
      <c r="G304" s="6">
        <f>IF(OR(A304="",E304=""),"",E304*IF(F304="",1,F304))</f>
        <v/>
      </c>
      <c r="H304">
        <f>IF(A304="","",YEAR(A304))</f>
        <v/>
      </c>
      <c r="I304">
        <f>IF(A304="","",IF(MONTH(A304)&lt;=3,1,IF(MONTH(A304)&lt;=5,2,IF(MONTH(A304)&lt;=8,3,4))))</f>
        <v/>
      </c>
      <c r="J304">
        <f>IF(A304="","",MONTH(A304))</f>
        <v/>
      </c>
    </row>
    <row r="305">
      <c r="A305" s="15" t="n"/>
      <c r="B305" s="16" t="n"/>
      <c r="C305" s="16" t="n"/>
      <c r="D305" s="16" t="n"/>
      <c r="E305" s="18" t="n"/>
      <c r="F305" s="19" t="n"/>
      <c r="G305" s="6">
        <f>IF(OR(A305="",E305=""),"",E305*IF(F305="",1,F305))</f>
        <v/>
      </c>
      <c r="H305">
        <f>IF(A305="","",YEAR(A305))</f>
        <v/>
      </c>
      <c r="I305">
        <f>IF(A305="","",IF(MONTH(A305)&lt;=3,1,IF(MONTH(A305)&lt;=5,2,IF(MONTH(A305)&lt;=8,3,4))))</f>
        <v/>
      </c>
      <c r="J305">
        <f>IF(A305="","",MONTH(A305))</f>
        <v/>
      </c>
    </row>
    <row r="306">
      <c r="A306" s="15" t="n"/>
      <c r="B306" s="16" t="n"/>
      <c r="C306" s="16" t="n"/>
      <c r="D306" s="16" t="n"/>
      <c r="E306" s="18" t="n"/>
      <c r="F306" s="19" t="n"/>
      <c r="G306" s="6">
        <f>IF(OR(A306="",E306=""),"",E306*IF(F306="",1,F306))</f>
        <v/>
      </c>
      <c r="H306">
        <f>IF(A306="","",YEAR(A306))</f>
        <v/>
      </c>
      <c r="I306">
        <f>IF(A306="","",IF(MONTH(A306)&lt;=3,1,IF(MONTH(A306)&lt;=5,2,IF(MONTH(A306)&lt;=8,3,4))))</f>
        <v/>
      </c>
      <c r="J306">
        <f>IF(A306="","",MONTH(A306))</f>
        <v/>
      </c>
    </row>
    <row r="307">
      <c r="A307" s="15" t="n"/>
      <c r="B307" s="16" t="n"/>
      <c r="C307" s="16" t="n"/>
      <c r="D307" s="16" t="n"/>
      <c r="E307" s="18" t="n"/>
      <c r="F307" s="19" t="n"/>
      <c r="G307" s="6">
        <f>IF(OR(A307="",E307=""),"",E307*IF(F307="",1,F307))</f>
        <v/>
      </c>
      <c r="H307">
        <f>IF(A307="","",YEAR(A307))</f>
        <v/>
      </c>
      <c r="I307">
        <f>IF(A307="","",IF(MONTH(A307)&lt;=3,1,IF(MONTH(A307)&lt;=5,2,IF(MONTH(A307)&lt;=8,3,4))))</f>
        <v/>
      </c>
      <c r="J307">
        <f>IF(A307="","",MONTH(A307))</f>
        <v/>
      </c>
    </row>
    <row r="308">
      <c r="A308" s="15" t="n"/>
      <c r="B308" s="16" t="n"/>
      <c r="C308" s="16" t="n"/>
      <c r="D308" s="16" t="n"/>
      <c r="E308" s="18" t="n"/>
      <c r="F308" s="19" t="n"/>
      <c r="G308" s="6">
        <f>IF(OR(A308="",E308=""),"",E308*IF(F308="",1,F308))</f>
        <v/>
      </c>
      <c r="H308">
        <f>IF(A308="","",YEAR(A308))</f>
        <v/>
      </c>
      <c r="I308">
        <f>IF(A308="","",IF(MONTH(A308)&lt;=3,1,IF(MONTH(A308)&lt;=5,2,IF(MONTH(A308)&lt;=8,3,4))))</f>
        <v/>
      </c>
      <c r="J308">
        <f>IF(A308="","",MONTH(A308))</f>
        <v/>
      </c>
    </row>
    <row r="309">
      <c r="A309" s="15" t="n"/>
      <c r="B309" s="16" t="n"/>
      <c r="C309" s="16" t="n"/>
      <c r="D309" s="16" t="n"/>
      <c r="E309" s="18" t="n"/>
      <c r="F309" s="19" t="n"/>
      <c r="G309" s="6">
        <f>IF(OR(A309="",E309=""),"",E309*IF(F309="",1,F309))</f>
        <v/>
      </c>
      <c r="H309">
        <f>IF(A309="","",YEAR(A309))</f>
        <v/>
      </c>
      <c r="I309">
        <f>IF(A309="","",IF(MONTH(A309)&lt;=3,1,IF(MONTH(A309)&lt;=5,2,IF(MONTH(A309)&lt;=8,3,4))))</f>
        <v/>
      </c>
      <c r="J309">
        <f>IF(A309="","",MONTH(A309))</f>
        <v/>
      </c>
    </row>
    <row r="310">
      <c r="A310" s="15" t="n"/>
      <c r="B310" s="16" t="n"/>
      <c r="C310" s="16" t="n"/>
      <c r="D310" s="16" t="n"/>
      <c r="E310" s="18" t="n"/>
      <c r="F310" s="19" t="n"/>
      <c r="G310" s="6">
        <f>IF(OR(A310="",E310=""),"",E310*IF(F310="",1,F310))</f>
        <v/>
      </c>
      <c r="H310">
        <f>IF(A310="","",YEAR(A310))</f>
        <v/>
      </c>
      <c r="I310">
        <f>IF(A310="","",IF(MONTH(A310)&lt;=3,1,IF(MONTH(A310)&lt;=5,2,IF(MONTH(A310)&lt;=8,3,4))))</f>
        <v/>
      </c>
      <c r="J310">
        <f>IF(A310="","",MONTH(A310))</f>
        <v/>
      </c>
    </row>
    <row r="311">
      <c r="A311" s="15" t="n"/>
      <c r="B311" s="16" t="n"/>
      <c r="C311" s="16" t="n"/>
      <c r="D311" s="16" t="n"/>
      <c r="E311" s="18" t="n"/>
      <c r="F311" s="19" t="n"/>
      <c r="G311" s="6">
        <f>IF(OR(A311="",E311=""),"",E311*IF(F311="",1,F311))</f>
        <v/>
      </c>
      <c r="H311">
        <f>IF(A311="","",YEAR(A311))</f>
        <v/>
      </c>
      <c r="I311">
        <f>IF(A311="","",IF(MONTH(A311)&lt;=3,1,IF(MONTH(A311)&lt;=5,2,IF(MONTH(A311)&lt;=8,3,4))))</f>
        <v/>
      </c>
      <c r="J311">
        <f>IF(A311="","",MONTH(A311))</f>
        <v/>
      </c>
    </row>
    <row r="312">
      <c r="A312" s="15" t="n"/>
      <c r="B312" s="16" t="n"/>
      <c r="C312" s="16" t="n"/>
      <c r="D312" s="16" t="n"/>
      <c r="E312" s="18" t="n"/>
      <c r="F312" s="19" t="n"/>
      <c r="G312" s="6">
        <f>IF(OR(A312="",E312=""),"",E312*IF(F312="",1,F312))</f>
        <v/>
      </c>
      <c r="H312">
        <f>IF(A312="","",YEAR(A312))</f>
        <v/>
      </c>
      <c r="I312">
        <f>IF(A312="","",IF(MONTH(A312)&lt;=3,1,IF(MONTH(A312)&lt;=5,2,IF(MONTH(A312)&lt;=8,3,4))))</f>
        <v/>
      </c>
      <c r="J312">
        <f>IF(A312="","",MONTH(A312))</f>
        <v/>
      </c>
    </row>
    <row r="313">
      <c r="A313" s="15" t="n"/>
      <c r="B313" s="16" t="n"/>
      <c r="C313" s="16" t="n"/>
      <c r="D313" s="16" t="n"/>
      <c r="E313" s="18" t="n"/>
      <c r="F313" s="19" t="n"/>
      <c r="G313" s="6">
        <f>IF(OR(A313="",E313=""),"",E313*IF(F313="",1,F313))</f>
        <v/>
      </c>
      <c r="H313">
        <f>IF(A313="","",YEAR(A313))</f>
        <v/>
      </c>
      <c r="I313">
        <f>IF(A313="","",IF(MONTH(A313)&lt;=3,1,IF(MONTH(A313)&lt;=5,2,IF(MONTH(A313)&lt;=8,3,4))))</f>
        <v/>
      </c>
      <c r="J313">
        <f>IF(A313="","",MONTH(A313))</f>
        <v/>
      </c>
    </row>
    <row r="314">
      <c r="A314" s="15" t="n"/>
      <c r="B314" s="16" t="n"/>
      <c r="C314" s="16" t="n"/>
      <c r="D314" s="16" t="n"/>
      <c r="E314" s="18" t="n"/>
      <c r="F314" s="19" t="n"/>
      <c r="G314" s="6">
        <f>IF(OR(A314="",E314=""),"",E314*IF(F314="",1,F314))</f>
        <v/>
      </c>
      <c r="H314">
        <f>IF(A314="","",YEAR(A314))</f>
        <v/>
      </c>
      <c r="I314">
        <f>IF(A314="","",IF(MONTH(A314)&lt;=3,1,IF(MONTH(A314)&lt;=5,2,IF(MONTH(A314)&lt;=8,3,4))))</f>
        <v/>
      </c>
      <c r="J314">
        <f>IF(A314="","",MONTH(A314))</f>
        <v/>
      </c>
    </row>
    <row r="315">
      <c r="A315" s="15" t="n"/>
      <c r="B315" s="16" t="n"/>
      <c r="C315" s="16" t="n"/>
      <c r="D315" s="16" t="n"/>
      <c r="E315" s="18" t="n"/>
      <c r="F315" s="19" t="n"/>
      <c r="G315" s="6">
        <f>IF(OR(A315="",E315=""),"",E315*IF(F315="",1,F315))</f>
        <v/>
      </c>
      <c r="H315">
        <f>IF(A315="","",YEAR(A315))</f>
        <v/>
      </c>
      <c r="I315">
        <f>IF(A315="","",IF(MONTH(A315)&lt;=3,1,IF(MONTH(A315)&lt;=5,2,IF(MONTH(A315)&lt;=8,3,4))))</f>
        <v/>
      </c>
      <c r="J315">
        <f>IF(A315="","",MONTH(A315))</f>
        <v/>
      </c>
    </row>
    <row r="316">
      <c r="A316" s="15" t="n"/>
      <c r="B316" s="16" t="n"/>
      <c r="C316" s="16" t="n"/>
      <c r="D316" s="16" t="n"/>
      <c r="E316" s="18" t="n"/>
      <c r="F316" s="19" t="n"/>
      <c r="G316" s="6">
        <f>IF(OR(A316="",E316=""),"",E316*IF(F316="",1,F316))</f>
        <v/>
      </c>
      <c r="H316">
        <f>IF(A316="","",YEAR(A316))</f>
        <v/>
      </c>
      <c r="I316">
        <f>IF(A316="","",IF(MONTH(A316)&lt;=3,1,IF(MONTH(A316)&lt;=5,2,IF(MONTH(A316)&lt;=8,3,4))))</f>
        <v/>
      </c>
      <c r="J316">
        <f>IF(A316="","",MONTH(A316))</f>
        <v/>
      </c>
    </row>
    <row r="317">
      <c r="A317" s="15" t="n"/>
      <c r="B317" s="16" t="n"/>
      <c r="C317" s="16" t="n"/>
      <c r="D317" s="16" t="n"/>
      <c r="E317" s="18" t="n"/>
      <c r="F317" s="19" t="n"/>
      <c r="G317" s="6">
        <f>IF(OR(A317="",E317=""),"",E317*IF(F317="",1,F317))</f>
        <v/>
      </c>
      <c r="H317">
        <f>IF(A317="","",YEAR(A317))</f>
        <v/>
      </c>
      <c r="I317">
        <f>IF(A317="","",IF(MONTH(A317)&lt;=3,1,IF(MONTH(A317)&lt;=5,2,IF(MONTH(A317)&lt;=8,3,4))))</f>
        <v/>
      </c>
      <c r="J317">
        <f>IF(A317="","",MONTH(A317))</f>
        <v/>
      </c>
    </row>
    <row r="318">
      <c r="A318" s="15" t="n"/>
      <c r="B318" s="16" t="n"/>
      <c r="C318" s="16" t="n"/>
      <c r="D318" s="16" t="n"/>
      <c r="E318" s="18" t="n"/>
      <c r="F318" s="19" t="n"/>
      <c r="G318" s="6">
        <f>IF(OR(A318="",E318=""),"",E318*IF(F318="",1,F318))</f>
        <v/>
      </c>
      <c r="H318">
        <f>IF(A318="","",YEAR(A318))</f>
        <v/>
      </c>
      <c r="I318">
        <f>IF(A318="","",IF(MONTH(A318)&lt;=3,1,IF(MONTH(A318)&lt;=5,2,IF(MONTH(A318)&lt;=8,3,4))))</f>
        <v/>
      </c>
      <c r="J318">
        <f>IF(A318="","",MONTH(A318))</f>
        <v/>
      </c>
    </row>
    <row r="319">
      <c r="A319" s="15" t="n"/>
      <c r="B319" s="16" t="n"/>
      <c r="C319" s="16" t="n"/>
      <c r="D319" s="16" t="n"/>
      <c r="E319" s="18" t="n"/>
      <c r="F319" s="19" t="n"/>
      <c r="G319" s="6">
        <f>IF(OR(A319="",E319=""),"",E319*IF(F319="",1,F319))</f>
        <v/>
      </c>
      <c r="H319">
        <f>IF(A319="","",YEAR(A319))</f>
        <v/>
      </c>
      <c r="I319">
        <f>IF(A319="","",IF(MONTH(A319)&lt;=3,1,IF(MONTH(A319)&lt;=5,2,IF(MONTH(A319)&lt;=8,3,4))))</f>
        <v/>
      </c>
      <c r="J319">
        <f>IF(A319="","",MONTH(A319))</f>
        <v/>
      </c>
    </row>
    <row r="320">
      <c r="A320" s="15" t="n"/>
      <c r="B320" s="16" t="n"/>
      <c r="C320" s="16" t="n"/>
      <c r="D320" s="16" t="n"/>
      <c r="E320" s="18" t="n"/>
      <c r="F320" s="19" t="n"/>
      <c r="G320" s="6">
        <f>IF(OR(A320="",E320=""),"",E320*IF(F320="",1,F320))</f>
        <v/>
      </c>
      <c r="H320">
        <f>IF(A320="","",YEAR(A320))</f>
        <v/>
      </c>
      <c r="I320">
        <f>IF(A320="","",IF(MONTH(A320)&lt;=3,1,IF(MONTH(A320)&lt;=5,2,IF(MONTH(A320)&lt;=8,3,4))))</f>
        <v/>
      </c>
      <c r="J320">
        <f>IF(A320="","",MONTH(A320))</f>
        <v/>
      </c>
    </row>
    <row r="321">
      <c r="A321" s="15" t="n"/>
      <c r="B321" s="16" t="n"/>
      <c r="C321" s="16" t="n"/>
      <c r="D321" s="16" t="n"/>
      <c r="E321" s="18" t="n"/>
      <c r="F321" s="19" t="n"/>
      <c r="G321" s="6">
        <f>IF(OR(A321="",E321=""),"",E321*IF(F321="",1,F321))</f>
        <v/>
      </c>
      <c r="H321">
        <f>IF(A321="","",YEAR(A321))</f>
        <v/>
      </c>
      <c r="I321">
        <f>IF(A321="","",IF(MONTH(A321)&lt;=3,1,IF(MONTH(A321)&lt;=5,2,IF(MONTH(A321)&lt;=8,3,4))))</f>
        <v/>
      </c>
      <c r="J321">
        <f>IF(A321="","",MONTH(A321))</f>
        <v/>
      </c>
    </row>
    <row r="322">
      <c r="A322" s="15" t="n"/>
      <c r="B322" s="16" t="n"/>
      <c r="C322" s="16" t="n"/>
      <c r="D322" s="16" t="n"/>
      <c r="E322" s="18" t="n"/>
      <c r="F322" s="19" t="n"/>
      <c r="G322" s="6">
        <f>IF(OR(A322="",E322=""),"",E322*IF(F322="",1,F322))</f>
        <v/>
      </c>
      <c r="H322">
        <f>IF(A322="","",YEAR(A322))</f>
        <v/>
      </c>
      <c r="I322">
        <f>IF(A322="","",IF(MONTH(A322)&lt;=3,1,IF(MONTH(A322)&lt;=5,2,IF(MONTH(A322)&lt;=8,3,4))))</f>
        <v/>
      </c>
      <c r="J322">
        <f>IF(A322="","",MONTH(A322))</f>
        <v/>
      </c>
    </row>
    <row r="323">
      <c r="A323" s="15" t="n"/>
      <c r="B323" s="16" t="n"/>
      <c r="C323" s="16" t="n"/>
      <c r="D323" s="16" t="n"/>
      <c r="E323" s="18" t="n"/>
      <c r="F323" s="19" t="n"/>
      <c r="G323" s="6">
        <f>IF(OR(A323="",E323=""),"",E323*IF(F323="",1,F323))</f>
        <v/>
      </c>
      <c r="H323">
        <f>IF(A323="","",YEAR(A323))</f>
        <v/>
      </c>
      <c r="I323">
        <f>IF(A323="","",IF(MONTH(A323)&lt;=3,1,IF(MONTH(A323)&lt;=5,2,IF(MONTH(A323)&lt;=8,3,4))))</f>
        <v/>
      </c>
      <c r="J323">
        <f>IF(A323="","",MONTH(A323))</f>
        <v/>
      </c>
    </row>
    <row r="324">
      <c r="A324" s="15" t="n"/>
      <c r="B324" s="16" t="n"/>
      <c r="C324" s="16" t="n"/>
      <c r="D324" s="16" t="n"/>
      <c r="E324" s="18" t="n"/>
      <c r="F324" s="19" t="n"/>
      <c r="G324" s="6">
        <f>IF(OR(A324="",E324=""),"",E324*IF(F324="",1,F324))</f>
        <v/>
      </c>
      <c r="H324">
        <f>IF(A324="","",YEAR(A324))</f>
        <v/>
      </c>
      <c r="I324">
        <f>IF(A324="","",IF(MONTH(A324)&lt;=3,1,IF(MONTH(A324)&lt;=5,2,IF(MONTH(A324)&lt;=8,3,4))))</f>
        <v/>
      </c>
      <c r="J324">
        <f>IF(A324="","",MONTH(A324))</f>
        <v/>
      </c>
    </row>
    <row r="325">
      <c r="A325" s="15" t="n"/>
      <c r="B325" s="16" t="n"/>
      <c r="C325" s="16" t="n"/>
      <c r="D325" s="16" t="n"/>
      <c r="E325" s="18" t="n"/>
      <c r="F325" s="19" t="n"/>
      <c r="G325" s="6">
        <f>IF(OR(A325="",E325=""),"",E325*IF(F325="",1,F325))</f>
        <v/>
      </c>
      <c r="H325">
        <f>IF(A325="","",YEAR(A325))</f>
        <v/>
      </c>
      <c r="I325">
        <f>IF(A325="","",IF(MONTH(A325)&lt;=3,1,IF(MONTH(A325)&lt;=5,2,IF(MONTH(A325)&lt;=8,3,4))))</f>
        <v/>
      </c>
      <c r="J325">
        <f>IF(A325="","",MONTH(A325))</f>
        <v/>
      </c>
    </row>
    <row r="326">
      <c r="A326" s="15" t="n"/>
      <c r="B326" s="16" t="n"/>
      <c r="C326" s="16" t="n"/>
      <c r="D326" s="16" t="n"/>
      <c r="E326" s="18" t="n"/>
      <c r="F326" s="19" t="n"/>
      <c r="G326" s="6">
        <f>IF(OR(A326="",E326=""),"",E326*IF(F326="",1,F326))</f>
        <v/>
      </c>
      <c r="H326">
        <f>IF(A326="","",YEAR(A326))</f>
        <v/>
      </c>
      <c r="I326">
        <f>IF(A326="","",IF(MONTH(A326)&lt;=3,1,IF(MONTH(A326)&lt;=5,2,IF(MONTH(A326)&lt;=8,3,4))))</f>
        <v/>
      </c>
      <c r="J326">
        <f>IF(A326="","",MONTH(A326))</f>
        <v/>
      </c>
    </row>
    <row r="327">
      <c r="A327" s="15" t="n"/>
      <c r="B327" s="16" t="n"/>
      <c r="C327" s="16" t="n"/>
      <c r="D327" s="16" t="n"/>
      <c r="E327" s="18" t="n"/>
      <c r="F327" s="19" t="n"/>
      <c r="G327" s="6">
        <f>IF(OR(A327="",E327=""),"",E327*IF(F327="",1,F327))</f>
        <v/>
      </c>
      <c r="H327">
        <f>IF(A327="","",YEAR(A327))</f>
        <v/>
      </c>
      <c r="I327">
        <f>IF(A327="","",IF(MONTH(A327)&lt;=3,1,IF(MONTH(A327)&lt;=5,2,IF(MONTH(A327)&lt;=8,3,4))))</f>
        <v/>
      </c>
      <c r="J327">
        <f>IF(A327="","",MONTH(A327))</f>
        <v/>
      </c>
    </row>
    <row r="328">
      <c r="A328" s="15" t="n"/>
      <c r="B328" s="16" t="n"/>
      <c r="C328" s="16" t="n"/>
      <c r="D328" s="16" t="n"/>
      <c r="E328" s="18" t="n"/>
      <c r="F328" s="19" t="n"/>
      <c r="G328" s="6">
        <f>IF(OR(A328="",E328=""),"",E328*IF(F328="",1,F328))</f>
        <v/>
      </c>
      <c r="H328">
        <f>IF(A328="","",YEAR(A328))</f>
        <v/>
      </c>
      <c r="I328">
        <f>IF(A328="","",IF(MONTH(A328)&lt;=3,1,IF(MONTH(A328)&lt;=5,2,IF(MONTH(A328)&lt;=8,3,4))))</f>
        <v/>
      </c>
      <c r="J328">
        <f>IF(A328="","",MONTH(A328))</f>
        <v/>
      </c>
    </row>
    <row r="329">
      <c r="A329" s="15" t="n"/>
      <c r="B329" s="16" t="n"/>
      <c r="C329" s="16" t="n"/>
      <c r="D329" s="16" t="n"/>
      <c r="E329" s="18" t="n"/>
      <c r="F329" s="19" t="n"/>
      <c r="G329" s="6">
        <f>IF(OR(A329="",E329=""),"",E329*IF(F329="",1,F329))</f>
        <v/>
      </c>
      <c r="H329">
        <f>IF(A329="","",YEAR(A329))</f>
        <v/>
      </c>
      <c r="I329">
        <f>IF(A329="","",IF(MONTH(A329)&lt;=3,1,IF(MONTH(A329)&lt;=5,2,IF(MONTH(A329)&lt;=8,3,4))))</f>
        <v/>
      </c>
      <c r="J329">
        <f>IF(A329="","",MONTH(A329))</f>
        <v/>
      </c>
    </row>
    <row r="330">
      <c r="A330" s="15" t="n"/>
      <c r="B330" s="16" t="n"/>
      <c r="C330" s="16" t="n"/>
      <c r="D330" s="16" t="n"/>
      <c r="E330" s="18" t="n"/>
      <c r="F330" s="19" t="n"/>
      <c r="G330" s="6">
        <f>IF(OR(A330="",E330=""),"",E330*IF(F330="",1,F330))</f>
        <v/>
      </c>
      <c r="H330">
        <f>IF(A330="","",YEAR(A330))</f>
        <v/>
      </c>
      <c r="I330">
        <f>IF(A330="","",IF(MONTH(A330)&lt;=3,1,IF(MONTH(A330)&lt;=5,2,IF(MONTH(A330)&lt;=8,3,4))))</f>
        <v/>
      </c>
      <c r="J330">
        <f>IF(A330="","",MONTH(A330))</f>
        <v/>
      </c>
    </row>
    <row r="331">
      <c r="A331" s="15" t="n"/>
      <c r="B331" s="16" t="n"/>
      <c r="C331" s="16" t="n"/>
      <c r="D331" s="16" t="n"/>
      <c r="E331" s="18" t="n"/>
      <c r="F331" s="19" t="n"/>
      <c r="G331" s="6">
        <f>IF(OR(A331="",E331=""),"",E331*IF(F331="",1,F331))</f>
        <v/>
      </c>
      <c r="H331">
        <f>IF(A331="","",YEAR(A331))</f>
        <v/>
      </c>
      <c r="I331">
        <f>IF(A331="","",IF(MONTH(A331)&lt;=3,1,IF(MONTH(A331)&lt;=5,2,IF(MONTH(A331)&lt;=8,3,4))))</f>
        <v/>
      </c>
      <c r="J331">
        <f>IF(A331="","",MONTH(A331))</f>
        <v/>
      </c>
    </row>
    <row r="332">
      <c r="A332" s="15" t="n"/>
      <c r="B332" s="16" t="n"/>
      <c r="C332" s="16" t="n"/>
      <c r="D332" s="16" t="n"/>
      <c r="E332" s="18" t="n"/>
      <c r="F332" s="19" t="n"/>
      <c r="G332" s="6">
        <f>IF(OR(A332="",E332=""),"",E332*IF(F332="",1,F332))</f>
        <v/>
      </c>
      <c r="H332">
        <f>IF(A332="","",YEAR(A332))</f>
        <v/>
      </c>
      <c r="I332">
        <f>IF(A332="","",IF(MONTH(A332)&lt;=3,1,IF(MONTH(A332)&lt;=5,2,IF(MONTH(A332)&lt;=8,3,4))))</f>
        <v/>
      </c>
      <c r="J332">
        <f>IF(A332="","",MONTH(A332))</f>
        <v/>
      </c>
    </row>
    <row r="333">
      <c r="A333" s="15" t="n"/>
      <c r="B333" s="16" t="n"/>
      <c r="C333" s="16" t="n"/>
      <c r="D333" s="16" t="n"/>
      <c r="E333" s="18" t="n"/>
      <c r="F333" s="19" t="n"/>
      <c r="G333" s="6">
        <f>IF(OR(A333="",E333=""),"",E333*IF(F333="",1,F333))</f>
        <v/>
      </c>
      <c r="H333">
        <f>IF(A333="","",YEAR(A333))</f>
        <v/>
      </c>
      <c r="I333">
        <f>IF(A333="","",IF(MONTH(A333)&lt;=3,1,IF(MONTH(A333)&lt;=5,2,IF(MONTH(A333)&lt;=8,3,4))))</f>
        <v/>
      </c>
      <c r="J333">
        <f>IF(A333="","",MONTH(A333))</f>
        <v/>
      </c>
    </row>
    <row r="334">
      <c r="A334" s="15" t="n"/>
      <c r="B334" s="16" t="n"/>
      <c r="C334" s="16" t="n"/>
      <c r="D334" s="16" t="n"/>
      <c r="E334" s="18" t="n"/>
      <c r="F334" s="19" t="n"/>
      <c r="G334" s="6">
        <f>IF(OR(A334="",E334=""),"",E334*IF(F334="",1,F334))</f>
        <v/>
      </c>
      <c r="H334">
        <f>IF(A334="","",YEAR(A334))</f>
        <v/>
      </c>
      <c r="I334">
        <f>IF(A334="","",IF(MONTH(A334)&lt;=3,1,IF(MONTH(A334)&lt;=5,2,IF(MONTH(A334)&lt;=8,3,4))))</f>
        <v/>
      </c>
      <c r="J334">
        <f>IF(A334="","",MONTH(A334))</f>
        <v/>
      </c>
    </row>
    <row r="335">
      <c r="A335" s="15" t="n"/>
      <c r="B335" s="16" t="n"/>
      <c r="C335" s="16" t="n"/>
      <c r="D335" s="16" t="n"/>
      <c r="E335" s="18" t="n"/>
      <c r="F335" s="19" t="n"/>
      <c r="G335" s="6">
        <f>IF(OR(A335="",E335=""),"",E335*IF(F335="",1,F335))</f>
        <v/>
      </c>
      <c r="H335">
        <f>IF(A335="","",YEAR(A335))</f>
        <v/>
      </c>
      <c r="I335">
        <f>IF(A335="","",IF(MONTH(A335)&lt;=3,1,IF(MONTH(A335)&lt;=5,2,IF(MONTH(A335)&lt;=8,3,4))))</f>
        <v/>
      </c>
      <c r="J335">
        <f>IF(A335="","",MONTH(A335))</f>
        <v/>
      </c>
    </row>
    <row r="336">
      <c r="A336" s="15" t="n"/>
      <c r="B336" s="16" t="n"/>
      <c r="C336" s="16" t="n"/>
      <c r="D336" s="16" t="n"/>
      <c r="E336" s="18" t="n"/>
      <c r="F336" s="19" t="n"/>
      <c r="G336" s="6">
        <f>IF(OR(A336="",E336=""),"",E336*IF(F336="",1,F336))</f>
        <v/>
      </c>
      <c r="H336">
        <f>IF(A336="","",YEAR(A336))</f>
        <v/>
      </c>
      <c r="I336">
        <f>IF(A336="","",IF(MONTH(A336)&lt;=3,1,IF(MONTH(A336)&lt;=5,2,IF(MONTH(A336)&lt;=8,3,4))))</f>
        <v/>
      </c>
      <c r="J336">
        <f>IF(A336="","",MONTH(A336))</f>
        <v/>
      </c>
    </row>
    <row r="337">
      <c r="A337" s="15" t="n"/>
      <c r="B337" s="16" t="n"/>
      <c r="C337" s="16" t="n"/>
      <c r="D337" s="16" t="n"/>
      <c r="E337" s="18" t="n"/>
      <c r="F337" s="19" t="n"/>
      <c r="G337" s="6">
        <f>IF(OR(A337="",E337=""),"",E337*IF(F337="",1,F337))</f>
        <v/>
      </c>
      <c r="H337">
        <f>IF(A337="","",YEAR(A337))</f>
        <v/>
      </c>
      <c r="I337">
        <f>IF(A337="","",IF(MONTH(A337)&lt;=3,1,IF(MONTH(A337)&lt;=5,2,IF(MONTH(A337)&lt;=8,3,4))))</f>
        <v/>
      </c>
      <c r="J337">
        <f>IF(A337="","",MONTH(A337))</f>
        <v/>
      </c>
    </row>
    <row r="338">
      <c r="A338" s="15" t="n"/>
      <c r="B338" s="16" t="n"/>
      <c r="C338" s="16" t="n"/>
      <c r="D338" s="16" t="n"/>
      <c r="E338" s="18" t="n"/>
      <c r="F338" s="19" t="n"/>
      <c r="G338" s="6">
        <f>IF(OR(A338="",E338=""),"",E338*IF(F338="",1,F338))</f>
        <v/>
      </c>
      <c r="H338">
        <f>IF(A338="","",YEAR(A338))</f>
        <v/>
      </c>
      <c r="I338">
        <f>IF(A338="","",IF(MONTH(A338)&lt;=3,1,IF(MONTH(A338)&lt;=5,2,IF(MONTH(A338)&lt;=8,3,4))))</f>
        <v/>
      </c>
      <c r="J338">
        <f>IF(A338="","",MONTH(A338))</f>
        <v/>
      </c>
    </row>
    <row r="339">
      <c r="A339" s="15" t="n"/>
      <c r="B339" s="16" t="n"/>
      <c r="C339" s="16" t="n"/>
      <c r="D339" s="16" t="n"/>
      <c r="E339" s="18" t="n"/>
      <c r="F339" s="19" t="n"/>
      <c r="G339" s="6">
        <f>IF(OR(A339="",E339=""),"",E339*IF(F339="",1,F339))</f>
        <v/>
      </c>
      <c r="H339">
        <f>IF(A339="","",YEAR(A339))</f>
        <v/>
      </c>
      <c r="I339">
        <f>IF(A339="","",IF(MONTH(A339)&lt;=3,1,IF(MONTH(A339)&lt;=5,2,IF(MONTH(A339)&lt;=8,3,4))))</f>
        <v/>
      </c>
      <c r="J339">
        <f>IF(A339="","",MONTH(A339))</f>
        <v/>
      </c>
    </row>
    <row r="340">
      <c r="A340" s="15" t="n"/>
      <c r="B340" s="16" t="n"/>
      <c r="C340" s="16" t="n"/>
      <c r="D340" s="16" t="n"/>
      <c r="E340" s="18" t="n"/>
      <c r="F340" s="19" t="n"/>
      <c r="G340" s="6">
        <f>IF(OR(A340="",E340=""),"",E340*IF(F340="",1,F340))</f>
        <v/>
      </c>
      <c r="H340">
        <f>IF(A340="","",YEAR(A340))</f>
        <v/>
      </c>
      <c r="I340">
        <f>IF(A340="","",IF(MONTH(A340)&lt;=3,1,IF(MONTH(A340)&lt;=5,2,IF(MONTH(A340)&lt;=8,3,4))))</f>
        <v/>
      </c>
      <c r="J340">
        <f>IF(A340="","",MONTH(A340))</f>
        <v/>
      </c>
    </row>
    <row r="341">
      <c r="A341" s="15" t="n"/>
      <c r="B341" s="16" t="n"/>
      <c r="C341" s="16" t="n"/>
      <c r="D341" s="16" t="n"/>
      <c r="E341" s="18" t="n"/>
      <c r="F341" s="19" t="n"/>
      <c r="G341" s="6">
        <f>IF(OR(A341="",E341=""),"",E341*IF(F341="",1,F341))</f>
        <v/>
      </c>
      <c r="H341">
        <f>IF(A341="","",YEAR(A341))</f>
        <v/>
      </c>
      <c r="I341">
        <f>IF(A341="","",IF(MONTH(A341)&lt;=3,1,IF(MONTH(A341)&lt;=5,2,IF(MONTH(A341)&lt;=8,3,4))))</f>
        <v/>
      </c>
      <c r="J341">
        <f>IF(A341="","",MONTH(A341))</f>
        <v/>
      </c>
    </row>
    <row r="342">
      <c r="A342" s="15" t="n"/>
      <c r="B342" s="16" t="n"/>
      <c r="C342" s="16" t="n"/>
      <c r="D342" s="16" t="n"/>
      <c r="E342" s="18" t="n"/>
      <c r="F342" s="19" t="n"/>
      <c r="G342" s="6">
        <f>IF(OR(A342="",E342=""),"",E342*IF(F342="",1,F342))</f>
        <v/>
      </c>
      <c r="H342">
        <f>IF(A342="","",YEAR(A342))</f>
        <v/>
      </c>
      <c r="I342">
        <f>IF(A342="","",IF(MONTH(A342)&lt;=3,1,IF(MONTH(A342)&lt;=5,2,IF(MONTH(A342)&lt;=8,3,4))))</f>
        <v/>
      </c>
      <c r="J342">
        <f>IF(A342="","",MONTH(A342))</f>
        <v/>
      </c>
    </row>
    <row r="343">
      <c r="A343" s="15" t="n"/>
      <c r="B343" s="16" t="n"/>
      <c r="C343" s="16" t="n"/>
      <c r="D343" s="16" t="n"/>
      <c r="E343" s="18" t="n"/>
      <c r="F343" s="19" t="n"/>
      <c r="G343" s="6">
        <f>IF(OR(A343="",E343=""),"",E343*IF(F343="",1,F343))</f>
        <v/>
      </c>
      <c r="H343">
        <f>IF(A343="","",YEAR(A343))</f>
        <v/>
      </c>
      <c r="I343">
        <f>IF(A343="","",IF(MONTH(A343)&lt;=3,1,IF(MONTH(A343)&lt;=5,2,IF(MONTH(A343)&lt;=8,3,4))))</f>
        <v/>
      </c>
      <c r="J343">
        <f>IF(A343="","",MONTH(A343))</f>
        <v/>
      </c>
    </row>
    <row r="344">
      <c r="A344" s="15" t="n"/>
      <c r="B344" s="16" t="n"/>
      <c r="C344" s="16" t="n"/>
      <c r="D344" s="16" t="n"/>
      <c r="E344" s="18" t="n"/>
      <c r="F344" s="19" t="n"/>
      <c r="G344" s="6">
        <f>IF(OR(A344="",E344=""),"",E344*IF(F344="",1,F344))</f>
        <v/>
      </c>
      <c r="H344">
        <f>IF(A344="","",YEAR(A344))</f>
        <v/>
      </c>
      <c r="I344">
        <f>IF(A344="","",IF(MONTH(A344)&lt;=3,1,IF(MONTH(A344)&lt;=5,2,IF(MONTH(A344)&lt;=8,3,4))))</f>
        <v/>
      </c>
      <c r="J344">
        <f>IF(A344="","",MONTH(A344))</f>
        <v/>
      </c>
    </row>
    <row r="345">
      <c r="A345" s="15" t="n"/>
      <c r="B345" s="16" t="n"/>
      <c r="C345" s="16" t="n"/>
      <c r="D345" s="16" t="n"/>
      <c r="E345" s="18" t="n"/>
      <c r="F345" s="19" t="n"/>
      <c r="G345" s="6">
        <f>IF(OR(A345="",E345=""),"",E345*IF(F345="",1,F345))</f>
        <v/>
      </c>
      <c r="H345">
        <f>IF(A345="","",YEAR(A345))</f>
        <v/>
      </c>
      <c r="I345">
        <f>IF(A345="","",IF(MONTH(A345)&lt;=3,1,IF(MONTH(A345)&lt;=5,2,IF(MONTH(A345)&lt;=8,3,4))))</f>
        <v/>
      </c>
      <c r="J345">
        <f>IF(A345="","",MONTH(A345))</f>
        <v/>
      </c>
    </row>
    <row r="346">
      <c r="A346" s="15" t="n"/>
      <c r="B346" s="16" t="n"/>
      <c r="C346" s="16" t="n"/>
      <c r="D346" s="16" t="n"/>
      <c r="E346" s="18" t="n"/>
      <c r="F346" s="19" t="n"/>
      <c r="G346" s="6">
        <f>IF(OR(A346="",E346=""),"",E346*IF(F346="",1,F346))</f>
        <v/>
      </c>
      <c r="H346">
        <f>IF(A346="","",YEAR(A346))</f>
        <v/>
      </c>
      <c r="I346">
        <f>IF(A346="","",IF(MONTH(A346)&lt;=3,1,IF(MONTH(A346)&lt;=5,2,IF(MONTH(A346)&lt;=8,3,4))))</f>
        <v/>
      </c>
      <c r="J346">
        <f>IF(A346="","",MONTH(A346))</f>
        <v/>
      </c>
    </row>
    <row r="347">
      <c r="A347" s="15" t="n"/>
      <c r="B347" s="16" t="n"/>
      <c r="C347" s="16" t="n"/>
      <c r="D347" s="16" t="n"/>
      <c r="E347" s="18" t="n"/>
      <c r="F347" s="19" t="n"/>
      <c r="G347" s="6">
        <f>IF(OR(A347="",E347=""),"",E347*IF(F347="",1,F347))</f>
        <v/>
      </c>
      <c r="H347">
        <f>IF(A347="","",YEAR(A347))</f>
        <v/>
      </c>
      <c r="I347">
        <f>IF(A347="","",IF(MONTH(A347)&lt;=3,1,IF(MONTH(A347)&lt;=5,2,IF(MONTH(A347)&lt;=8,3,4))))</f>
        <v/>
      </c>
      <c r="J347">
        <f>IF(A347="","",MONTH(A347))</f>
        <v/>
      </c>
    </row>
    <row r="348">
      <c r="A348" s="15" t="n"/>
      <c r="B348" s="16" t="n"/>
      <c r="C348" s="16" t="n"/>
      <c r="D348" s="16" t="n"/>
      <c r="E348" s="18" t="n"/>
      <c r="F348" s="19" t="n"/>
      <c r="G348" s="6">
        <f>IF(OR(A348="",E348=""),"",E348*IF(F348="",1,F348))</f>
        <v/>
      </c>
      <c r="H348">
        <f>IF(A348="","",YEAR(A348))</f>
        <v/>
      </c>
      <c r="I348">
        <f>IF(A348="","",IF(MONTH(A348)&lt;=3,1,IF(MONTH(A348)&lt;=5,2,IF(MONTH(A348)&lt;=8,3,4))))</f>
        <v/>
      </c>
      <c r="J348">
        <f>IF(A348="","",MONTH(A348))</f>
        <v/>
      </c>
    </row>
    <row r="349">
      <c r="A349" s="15" t="n"/>
      <c r="B349" s="16" t="n"/>
      <c r="C349" s="16" t="n"/>
      <c r="D349" s="16" t="n"/>
      <c r="E349" s="18" t="n"/>
      <c r="F349" s="19" t="n"/>
      <c r="G349" s="6">
        <f>IF(OR(A349="",E349=""),"",E349*IF(F349="",1,F349))</f>
        <v/>
      </c>
      <c r="H349">
        <f>IF(A349="","",YEAR(A349))</f>
        <v/>
      </c>
      <c r="I349">
        <f>IF(A349="","",IF(MONTH(A349)&lt;=3,1,IF(MONTH(A349)&lt;=5,2,IF(MONTH(A349)&lt;=8,3,4))))</f>
        <v/>
      </c>
      <c r="J349">
        <f>IF(A349="","",MONTH(A349))</f>
        <v/>
      </c>
    </row>
    <row r="350">
      <c r="A350" s="15" t="n"/>
      <c r="B350" s="16" t="n"/>
      <c r="C350" s="16" t="n"/>
      <c r="D350" s="16" t="n"/>
      <c r="E350" s="18" t="n"/>
      <c r="F350" s="19" t="n"/>
      <c r="G350" s="6">
        <f>IF(OR(A350="",E350=""),"",E350*IF(F350="",1,F350))</f>
        <v/>
      </c>
      <c r="H350">
        <f>IF(A350="","",YEAR(A350))</f>
        <v/>
      </c>
      <c r="I350">
        <f>IF(A350="","",IF(MONTH(A350)&lt;=3,1,IF(MONTH(A350)&lt;=5,2,IF(MONTH(A350)&lt;=8,3,4))))</f>
        <v/>
      </c>
      <c r="J350">
        <f>IF(A350="","",MONTH(A350))</f>
        <v/>
      </c>
    </row>
    <row r="351">
      <c r="A351" s="15" t="n"/>
      <c r="B351" s="16" t="n"/>
      <c r="C351" s="16" t="n"/>
      <c r="D351" s="16" t="n"/>
      <c r="E351" s="18" t="n"/>
      <c r="F351" s="19" t="n"/>
      <c r="G351" s="6">
        <f>IF(OR(A351="",E351=""),"",E351*IF(F351="",1,F351))</f>
        <v/>
      </c>
      <c r="H351">
        <f>IF(A351="","",YEAR(A351))</f>
        <v/>
      </c>
      <c r="I351">
        <f>IF(A351="","",IF(MONTH(A351)&lt;=3,1,IF(MONTH(A351)&lt;=5,2,IF(MONTH(A351)&lt;=8,3,4))))</f>
        <v/>
      </c>
      <c r="J351">
        <f>IF(A351="","",MONTH(A351))</f>
        <v/>
      </c>
    </row>
    <row r="352">
      <c r="A352" s="15" t="n"/>
      <c r="B352" s="16" t="n"/>
      <c r="C352" s="16" t="n"/>
      <c r="D352" s="16" t="n"/>
      <c r="E352" s="18" t="n"/>
      <c r="F352" s="19" t="n"/>
      <c r="G352" s="6">
        <f>IF(OR(A352="",E352=""),"",E352*IF(F352="",1,F352))</f>
        <v/>
      </c>
      <c r="H352">
        <f>IF(A352="","",YEAR(A352))</f>
        <v/>
      </c>
      <c r="I352">
        <f>IF(A352="","",IF(MONTH(A352)&lt;=3,1,IF(MONTH(A352)&lt;=5,2,IF(MONTH(A352)&lt;=8,3,4))))</f>
        <v/>
      </c>
      <c r="J352">
        <f>IF(A352="","",MONTH(A352))</f>
        <v/>
      </c>
    </row>
    <row r="353">
      <c r="A353" s="15" t="n"/>
      <c r="B353" s="16" t="n"/>
      <c r="C353" s="16" t="n"/>
      <c r="D353" s="16" t="n"/>
      <c r="E353" s="18" t="n"/>
      <c r="F353" s="19" t="n"/>
      <c r="G353" s="6">
        <f>IF(OR(A353="",E353=""),"",E353*IF(F353="",1,F353))</f>
        <v/>
      </c>
      <c r="H353">
        <f>IF(A353="","",YEAR(A353))</f>
        <v/>
      </c>
      <c r="I353">
        <f>IF(A353="","",IF(MONTH(A353)&lt;=3,1,IF(MONTH(A353)&lt;=5,2,IF(MONTH(A353)&lt;=8,3,4))))</f>
        <v/>
      </c>
      <c r="J353">
        <f>IF(A353="","",MONTH(A353))</f>
        <v/>
      </c>
    </row>
    <row r="354">
      <c r="A354" s="15" t="n"/>
      <c r="B354" s="16" t="n"/>
      <c r="C354" s="16" t="n"/>
      <c r="D354" s="16" t="n"/>
      <c r="E354" s="18" t="n"/>
      <c r="F354" s="19" t="n"/>
      <c r="G354" s="6">
        <f>IF(OR(A354="",E354=""),"",E354*IF(F354="",1,F354))</f>
        <v/>
      </c>
      <c r="H354">
        <f>IF(A354="","",YEAR(A354))</f>
        <v/>
      </c>
      <c r="I354">
        <f>IF(A354="","",IF(MONTH(A354)&lt;=3,1,IF(MONTH(A354)&lt;=5,2,IF(MONTH(A354)&lt;=8,3,4))))</f>
        <v/>
      </c>
      <c r="J354">
        <f>IF(A354="","",MONTH(A354))</f>
        <v/>
      </c>
    </row>
    <row r="355">
      <c r="A355" s="15" t="n"/>
      <c r="B355" s="16" t="n"/>
      <c r="C355" s="16" t="n"/>
      <c r="D355" s="16" t="n"/>
      <c r="E355" s="18" t="n"/>
      <c r="F355" s="19" t="n"/>
      <c r="G355" s="6">
        <f>IF(OR(A355="",E355=""),"",E355*IF(F355="",1,F355))</f>
        <v/>
      </c>
      <c r="H355">
        <f>IF(A355="","",YEAR(A355))</f>
        <v/>
      </c>
      <c r="I355">
        <f>IF(A355="","",IF(MONTH(A355)&lt;=3,1,IF(MONTH(A355)&lt;=5,2,IF(MONTH(A355)&lt;=8,3,4))))</f>
        <v/>
      </c>
      <c r="J355">
        <f>IF(A355="","",MONTH(A355))</f>
        <v/>
      </c>
    </row>
    <row r="356">
      <c r="A356" s="15" t="n"/>
      <c r="B356" s="16" t="n"/>
      <c r="C356" s="16" t="n"/>
      <c r="D356" s="16" t="n"/>
      <c r="E356" s="18" t="n"/>
      <c r="F356" s="19" t="n"/>
      <c r="G356" s="6">
        <f>IF(OR(A356="",E356=""),"",E356*IF(F356="",1,F356))</f>
        <v/>
      </c>
      <c r="H356">
        <f>IF(A356="","",YEAR(A356))</f>
        <v/>
      </c>
      <c r="I356">
        <f>IF(A356="","",IF(MONTH(A356)&lt;=3,1,IF(MONTH(A356)&lt;=5,2,IF(MONTH(A356)&lt;=8,3,4))))</f>
        <v/>
      </c>
      <c r="J356">
        <f>IF(A356="","",MONTH(A356))</f>
        <v/>
      </c>
    </row>
    <row r="357">
      <c r="A357" s="15" t="n"/>
      <c r="B357" s="16" t="n"/>
      <c r="C357" s="16" t="n"/>
      <c r="D357" s="16" t="n"/>
      <c r="E357" s="18" t="n"/>
      <c r="F357" s="19" t="n"/>
      <c r="G357" s="6">
        <f>IF(OR(A357="",E357=""),"",E357*IF(F357="",1,F357))</f>
        <v/>
      </c>
      <c r="H357">
        <f>IF(A357="","",YEAR(A357))</f>
        <v/>
      </c>
      <c r="I357">
        <f>IF(A357="","",IF(MONTH(A357)&lt;=3,1,IF(MONTH(A357)&lt;=5,2,IF(MONTH(A357)&lt;=8,3,4))))</f>
        <v/>
      </c>
      <c r="J357">
        <f>IF(A357="","",MONTH(A357))</f>
        <v/>
      </c>
    </row>
    <row r="358">
      <c r="A358" s="15" t="n"/>
      <c r="B358" s="16" t="n"/>
      <c r="C358" s="16" t="n"/>
      <c r="D358" s="16" t="n"/>
      <c r="E358" s="18" t="n"/>
      <c r="F358" s="19" t="n"/>
      <c r="G358" s="6">
        <f>IF(OR(A358="",E358=""),"",E358*IF(F358="",1,F358))</f>
        <v/>
      </c>
      <c r="H358">
        <f>IF(A358="","",YEAR(A358))</f>
        <v/>
      </c>
      <c r="I358">
        <f>IF(A358="","",IF(MONTH(A358)&lt;=3,1,IF(MONTH(A358)&lt;=5,2,IF(MONTH(A358)&lt;=8,3,4))))</f>
        <v/>
      </c>
      <c r="J358">
        <f>IF(A358="","",MONTH(A358))</f>
        <v/>
      </c>
    </row>
    <row r="359">
      <c r="A359" s="15" t="n"/>
      <c r="B359" s="16" t="n"/>
      <c r="C359" s="16" t="n"/>
      <c r="D359" s="16" t="n"/>
      <c r="E359" s="18" t="n"/>
      <c r="F359" s="19" t="n"/>
      <c r="G359" s="6">
        <f>IF(OR(A359="",E359=""),"",E359*IF(F359="",1,F359))</f>
        <v/>
      </c>
      <c r="H359">
        <f>IF(A359="","",YEAR(A359))</f>
        <v/>
      </c>
      <c r="I359">
        <f>IF(A359="","",IF(MONTH(A359)&lt;=3,1,IF(MONTH(A359)&lt;=5,2,IF(MONTH(A359)&lt;=8,3,4))))</f>
        <v/>
      </c>
      <c r="J359">
        <f>IF(A359="","",MONTH(A359))</f>
        <v/>
      </c>
    </row>
    <row r="360">
      <c r="A360" s="15" t="n"/>
      <c r="B360" s="16" t="n"/>
      <c r="C360" s="16" t="n"/>
      <c r="D360" s="16" t="n"/>
      <c r="E360" s="18" t="n"/>
      <c r="F360" s="19" t="n"/>
      <c r="G360" s="6">
        <f>IF(OR(A360="",E360=""),"",E360*IF(F360="",1,F360))</f>
        <v/>
      </c>
      <c r="H360">
        <f>IF(A360="","",YEAR(A360))</f>
        <v/>
      </c>
      <c r="I360">
        <f>IF(A360="","",IF(MONTH(A360)&lt;=3,1,IF(MONTH(A360)&lt;=5,2,IF(MONTH(A360)&lt;=8,3,4))))</f>
        <v/>
      </c>
      <c r="J360">
        <f>IF(A360="","",MONTH(A360))</f>
        <v/>
      </c>
    </row>
    <row r="361">
      <c r="A361" s="15" t="n"/>
      <c r="B361" s="16" t="n"/>
      <c r="C361" s="16" t="n"/>
      <c r="D361" s="16" t="n"/>
      <c r="E361" s="18" t="n"/>
      <c r="F361" s="19" t="n"/>
      <c r="G361" s="6">
        <f>IF(OR(A361="",E361=""),"",E361*IF(F361="",1,F361))</f>
        <v/>
      </c>
      <c r="H361">
        <f>IF(A361="","",YEAR(A361))</f>
        <v/>
      </c>
      <c r="I361">
        <f>IF(A361="","",IF(MONTH(A361)&lt;=3,1,IF(MONTH(A361)&lt;=5,2,IF(MONTH(A361)&lt;=8,3,4))))</f>
        <v/>
      </c>
      <c r="J361">
        <f>IF(A361="","",MONTH(A361))</f>
        <v/>
      </c>
    </row>
    <row r="362">
      <c r="A362" s="15" t="n"/>
      <c r="B362" s="16" t="n"/>
      <c r="C362" s="16" t="n"/>
      <c r="D362" s="16" t="n"/>
      <c r="E362" s="18" t="n"/>
      <c r="F362" s="19" t="n"/>
      <c r="G362" s="6">
        <f>IF(OR(A362="",E362=""),"",E362*IF(F362="",1,F362))</f>
        <v/>
      </c>
      <c r="H362">
        <f>IF(A362="","",YEAR(A362))</f>
        <v/>
      </c>
      <c r="I362">
        <f>IF(A362="","",IF(MONTH(A362)&lt;=3,1,IF(MONTH(A362)&lt;=5,2,IF(MONTH(A362)&lt;=8,3,4))))</f>
        <v/>
      </c>
      <c r="J362">
        <f>IF(A362="","",MONTH(A362))</f>
        <v/>
      </c>
    </row>
    <row r="363">
      <c r="A363" s="15" t="n"/>
      <c r="B363" s="16" t="n"/>
      <c r="C363" s="16" t="n"/>
      <c r="D363" s="16" t="n"/>
      <c r="E363" s="18" t="n"/>
      <c r="F363" s="19" t="n"/>
      <c r="G363" s="6">
        <f>IF(OR(A363="",E363=""),"",E363*IF(F363="",1,F363))</f>
        <v/>
      </c>
      <c r="H363">
        <f>IF(A363="","",YEAR(A363))</f>
        <v/>
      </c>
      <c r="I363">
        <f>IF(A363="","",IF(MONTH(A363)&lt;=3,1,IF(MONTH(A363)&lt;=5,2,IF(MONTH(A363)&lt;=8,3,4))))</f>
        <v/>
      </c>
      <c r="J363">
        <f>IF(A363="","",MONTH(A363))</f>
        <v/>
      </c>
    </row>
    <row r="364">
      <c r="A364" s="15" t="n"/>
      <c r="B364" s="16" t="n"/>
      <c r="C364" s="16" t="n"/>
      <c r="D364" s="16" t="n"/>
      <c r="E364" s="18" t="n"/>
      <c r="F364" s="19" t="n"/>
      <c r="G364" s="6">
        <f>IF(OR(A364="",E364=""),"",E364*IF(F364="",1,F364))</f>
        <v/>
      </c>
      <c r="H364">
        <f>IF(A364="","",YEAR(A364))</f>
        <v/>
      </c>
      <c r="I364">
        <f>IF(A364="","",IF(MONTH(A364)&lt;=3,1,IF(MONTH(A364)&lt;=5,2,IF(MONTH(A364)&lt;=8,3,4))))</f>
        <v/>
      </c>
      <c r="J364">
        <f>IF(A364="","",MONTH(A364))</f>
        <v/>
      </c>
    </row>
    <row r="365">
      <c r="A365" s="15" t="n"/>
      <c r="B365" s="16" t="n"/>
      <c r="C365" s="16" t="n"/>
      <c r="D365" s="16" t="n"/>
      <c r="E365" s="18" t="n"/>
      <c r="F365" s="19" t="n"/>
      <c r="G365" s="6">
        <f>IF(OR(A365="",E365=""),"",E365*IF(F365="",1,F365))</f>
        <v/>
      </c>
      <c r="H365">
        <f>IF(A365="","",YEAR(A365))</f>
        <v/>
      </c>
      <c r="I365">
        <f>IF(A365="","",IF(MONTH(A365)&lt;=3,1,IF(MONTH(A365)&lt;=5,2,IF(MONTH(A365)&lt;=8,3,4))))</f>
        <v/>
      </c>
      <c r="J365">
        <f>IF(A365="","",MONTH(A365))</f>
        <v/>
      </c>
    </row>
    <row r="366">
      <c r="A366" s="15" t="n"/>
      <c r="B366" s="16" t="n"/>
      <c r="C366" s="16" t="n"/>
      <c r="D366" s="16" t="n"/>
      <c r="E366" s="18" t="n"/>
      <c r="F366" s="19" t="n"/>
      <c r="G366" s="6">
        <f>IF(OR(A366="",E366=""),"",E366*IF(F366="",1,F366))</f>
        <v/>
      </c>
      <c r="H366">
        <f>IF(A366="","",YEAR(A366))</f>
        <v/>
      </c>
      <c r="I366">
        <f>IF(A366="","",IF(MONTH(A366)&lt;=3,1,IF(MONTH(A366)&lt;=5,2,IF(MONTH(A366)&lt;=8,3,4))))</f>
        <v/>
      </c>
      <c r="J366">
        <f>IF(A366="","",MONTH(A366))</f>
        <v/>
      </c>
    </row>
    <row r="367">
      <c r="A367" s="15" t="n"/>
      <c r="B367" s="16" t="n"/>
      <c r="C367" s="16" t="n"/>
      <c r="D367" s="16" t="n"/>
      <c r="E367" s="18" t="n"/>
      <c r="F367" s="19" t="n"/>
      <c r="G367" s="6">
        <f>IF(OR(A367="",E367=""),"",E367*IF(F367="",1,F367))</f>
        <v/>
      </c>
      <c r="H367">
        <f>IF(A367="","",YEAR(A367))</f>
        <v/>
      </c>
      <c r="I367">
        <f>IF(A367="","",IF(MONTH(A367)&lt;=3,1,IF(MONTH(A367)&lt;=5,2,IF(MONTH(A367)&lt;=8,3,4))))</f>
        <v/>
      </c>
      <c r="J367">
        <f>IF(A367="","",MONTH(A367))</f>
        <v/>
      </c>
    </row>
    <row r="368">
      <c r="A368" s="15" t="n"/>
      <c r="B368" s="16" t="n"/>
      <c r="C368" s="16" t="n"/>
      <c r="D368" s="16" t="n"/>
      <c r="E368" s="18" t="n"/>
      <c r="F368" s="19" t="n"/>
      <c r="G368" s="6">
        <f>IF(OR(A368="",E368=""),"",E368*IF(F368="",1,F368))</f>
        <v/>
      </c>
      <c r="H368">
        <f>IF(A368="","",YEAR(A368))</f>
        <v/>
      </c>
      <c r="I368">
        <f>IF(A368="","",IF(MONTH(A368)&lt;=3,1,IF(MONTH(A368)&lt;=5,2,IF(MONTH(A368)&lt;=8,3,4))))</f>
        <v/>
      </c>
      <c r="J368">
        <f>IF(A368="","",MONTH(A368))</f>
        <v/>
      </c>
    </row>
    <row r="369">
      <c r="A369" s="15" t="n"/>
      <c r="B369" s="16" t="n"/>
      <c r="C369" s="16" t="n"/>
      <c r="D369" s="16" t="n"/>
      <c r="E369" s="18" t="n"/>
      <c r="F369" s="19" t="n"/>
      <c r="G369" s="6">
        <f>IF(OR(A369="",E369=""),"",E369*IF(F369="",1,F369))</f>
        <v/>
      </c>
      <c r="H369">
        <f>IF(A369="","",YEAR(A369))</f>
        <v/>
      </c>
      <c r="I369">
        <f>IF(A369="","",IF(MONTH(A369)&lt;=3,1,IF(MONTH(A369)&lt;=5,2,IF(MONTH(A369)&lt;=8,3,4))))</f>
        <v/>
      </c>
      <c r="J369">
        <f>IF(A369="","",MONTH(A369))</f>
        <v/>
      </c>
    </row>
    <row r="370">
      <c r="A370" s="15" t="n"/>
      <c r="B370" s="16" t="n"/>
      <c r="C370" s="16" t="n"/>
      <c r="D370" s="16" t="n"/>
      <c r="E370" s="18" t="n"/>
      <c r="F370" s="19" t="n"/>
      <c r="G370" s="6">
        <f>IF(OR(A370="",E370=""),"",E370*IF(F370="",1,F370))</f>
        <v/>
      </c>
      <c r="H370">
        <f>IF(A370="","",YEAR(A370))</f>
        <v/>
      </c>
      <c r="I370">
        <f>IF(A370="","",IF(MONTH(A370)&lt;=3,1,IF(MONTH(A370)&lt;=5,2,IF(MONTH(A370)&lt;=8,3,4))))</f>
        <v/>
      </c>
      <c r="J370">
        <f>IF(A370="","",MONTH(A370))</f>
        <v/>
      </c>
    </row>
    <row r="371">
      <c r="A371" s="15" t="n"/>
      <c r="B371" s="16" t="n"/>
      <c r="C371" s="16" t="n"/>
      <c r="D371" s="16" t="n"/>
      <c r="E371" s="18" t="n"/>
      <c r="F371" s="19" t="n"/>
      <c r="G371" s="6">
        <f>IF(OR(A371="",E371=""),"",E371*IF(F371="",1,F371))</f>
        <v/>
      </c>
      <c r="H371">
        <f>IF(A371="","",YEAR(A371))</f>
        <v/>
      </c>
      <c r="I371">
        <f>IF(A371="","",IF(MONTH(A371)&lt;=3,1,IF(MONTH(A371)&lt;=5,2,IF(MONTH(A371)&lt;=8,3,4))))</f>
        <v/>
      </c>
      <c r="J371">
        <f>IF(A371="","",MONTH(A371))</f>
        <v/>
      </c>
    </row>
    <row r="372">
      <c r="A372" s="15" t="n"/>
      <c r="B372" s="16" t="n"/>
      <c r="C372" s="16" t="n"/>
      <c r="D372" s="16" t="n"/>
      <c r="E372" s="18" t="n"/>
      <c r="F372" s="19" t="n"/>
      <c r="G372" s="6">
        <f>IF(OR(A372="",E372=""),"",E372*IF(F372="",1,F372))</f>
        <v/>
      </c>
      <c r="H372">
        <f>IF(A372="","",YEAR(A372))</f>
        <v/>
      </c>
      <c r="I372">
        <f>IF(A372="","",IF(MONTH(A372)&lt;=3,1,IF(MONTH(A372)&lt;=5,2,IF(MONTH(A372)&lt;=8,3,4))))</f>
        <v/>
      </c>
      <c r="J372">
        <f>IF(A372="","",MONTH(A372))</f>
        <v/>
      </c>
    </row>
    <row r="373">
      <c r="A373" s="15" t="n"/>
      <c r="B373" s="16" t="n"/>
      <c r="C373" s="16" t="n"/>
      <c r="D373" s="16" t="n"/>
      <c r="E373" s="18" t="n"/>
      <c r="F373" s="19" t="n"/>
      <c r="G373" s="6">
        <f>IF(OR(A373="",E373=""),"",E373*IF(F373="",1,F373))</f>
        <v/>
      </c>
      <c r="H373">
        <f>IF(A373="","",YEAR(A373))</f>
        <v/>
      </c>
      <c r="I373">
        <f>IF(A373="","",IF(MONTH(A373)&lt;=3,1,IF(MONTH(A373)&lt;=5,2,IF(MONTH(A373)&lt;=8,3,4))))</f>
        <v/>
      </c>
      <c r="J373">
        <f>IF(A373="","",MONTH(A373))</f>
        <v/>
      </c>
    </row>
    <row r="374">
      <c r="A374" s="15" t="n"/>
      <c r="B374" s="16" t="n"/>
      <c r="C374" s="16" t="n"/>
      <c r="D374" s="16" t="n"/>
      <c r="E374" s="18" t="n"/>
      <c r="F374" s="19" t="n"/>
      <c r="G374" s="6">
        <f>IF(OR(A374="",E374=""),"",E374*IF(F374="",1,F374))</f>
        <v/>
      </c>
      <c r="H374">
        <f>IF(A374="","",YEAR(A374))</f>
        <v/>
      </c>
      <c r="I374">
        <f>IF(A374="","",IF(MONTH(A374)&lt;=3,1,IF(MONTH(A374)&lt;=5,2,IF(MONTH(A374)&lt;=8,3,4))))</f>
        <v/>
      </c>
      <c r="J374">
        <f>IF(A374="","",MONTH(A374))</f>
        <v/>
      </c>
    </row>
    <row r="375">
      <c r="A375" s="15" t="n"/>
      <c r="B375" s="16" t="n"/>
      <c r="C375" s="16" t="n"/>
      <c r="D375" s="16" t="n"/>
      <c r="E375" s="18" t="n"/>
      <c r="F375" s="19" t="n"/>
      <c r="G375" s="6">
        <f>IF(OR(A375="",E375=""),"",E375*IF(F375="",1,F375))</f>
        <v/>
      </c>
      <c r="H375">
        <f>IF(A375="","",YEAR(A375))</f>
        <v/>
      </c>
      <c r="I375">
        <f>IF(A375="","",IF(MONTH(A375)&lt;=3,1,IF(MONTH(A375)&lt;=5,2,IF(MONTH(A375)&lt;=8,3,4))))</f>
        <v/>
      </c>
      <c r="J375">
        <f>IF(A375="","",MONTH(A375))</f>
        <v/>
      </c>
    </row>
    <row r="376">
      <c r="A376" s="15" t="n"/>
      <c r="B376" s="16" t="n"/>
      <c r="C376" s="16" t="n"/>
      <c r="D376" s="16" t="n"/>
      <c r="E376" s="18" t="n"/>
      <c r="F376" s="19" t="n"/>
      <c r="G376" s="6">
        <f>IF(OR(A376="",E376=""),"",E376*IF(F376="",1,F376))</f>
        <v/>
      </c>
      <c r="H376">
        <f>IF(A376="","",YEAR(A376))</f>
        <v/>
      </c>
      <c r="I376">
        <f>IF(A376="","",IF(MONTH(A376)&lt;=3,1,IF(MONTH(A376)&lt;=5,2,IF(MONTH(A376)&lt;=8,3,4))))</f>
        <v/>
      </c>
      <c r="J376">
        <f>IF(A376="","",MONTH(A376))</f>
        <v/>
      </c>
    </row>
    <row r="377">
      <c r="A377" s="15" t="n"/>
      <c r="B377" s="16" t="n"/>
      <c r="C377" s="16" t="n"/>
      <c r="D377" s="16" t="n"/>
      <c r="E377" s="18" t="n"/>
      <c r="F377" s="19" t="n"/>
      <c r="G377" s="6">
        <f>IF(OR(A377="",E377=""),"",E377*IF(F377="",1,F377))</f>
        <v/>
      </c>
      <c r="H377">
        <f>IF(A377="","",YEAR(A377))</f>
        <v/>
      </c>
      <c r="I377">
        <f>IF(A377="","",IF(MONTH(A377)&lt;=3,1,IF(MONTH(A377)&lt;=5,2,IF(MONTH(A377)&lt;=8,3,4))))</f>
        <v/>
      </c>
      <c r="J377">
        <f>IF(A377="","",MONTH(A377))</f>
        <v/>
      </c>
    </row>
    <row r="378">
      <c r="A378" s="15" t="n"/>
      <c r="B378" s="16" t="n"/>
      <c r="C378" s="16" t="n"/>
      <c r="D378" s="16" t="n"/>
      <c r="E378" s="18" t="n"/>
      <c r="F378" s="19" t="n"/>
      <c r="G378" s="6">
        <f>IF(OR(A378="",E378=""),"",E378*IF(F378="",1,F378))</f>
        <v/>
      </c>
      <c r="H378">
        <f>IF(A378="","",YEAR(A378))</f>
        <v/>
      </c>
      <c r="I378">
        <f>IF(A378="","",IF(MONTH(A378)&lt;=3,1,IF(MONTH(A378)&lt;=5,2,IF(MONTH(A378)&lt;=8,3,4))))</f>
        <v/>
      </c>
      <c r="J378">
        <f>IF(A378="","",MONTH(A378))</f>
        <v/>
      </c>
    </row>
    <row r="379">
      <c r="A379" s="15" t="n"/>
      <c r="B379" s="16" t="n"/>
      <c r="C379" s="16" t="n"/>
      <c r="D379" s="16" t="n"/>
      <c r="E379" s="18" t="n"/>
      <c r="F379" s="19" t="n"/>
      <c r="G379" s="6">
        <f>IF(OR(A379="",E379=""),"",E379*IF(F379="",1,F379))</f>
        <v/>
      </c>
      <c r="H379">
        <f>IF(A379="","",YEAR(A379))</f>
        <v/>
      </c>
      <c r="I379">
        <f>IF(A379="","",IF(MONTH(A379)&lt;=3,1,IF(MONTH(A379)&lt;=5,2,IF(MONTH(A379)&lt;=8,3,4))))</f>
        <v/>
      </c>
      <c r="J379">
        <f>IF(A379="","",MONTH(A379))</f>
        <v/>
      </c>
    </row>
    <row r="380">
      <c r="A380" s="15" t="n"/>
      <c r="B380" s="16" t="n"/>
      <c r="C380" s="16" t="n"/>
      <c r="D380" s="16" t="n"/>
      <c r="E380" s="18" t="n"/>
      <c r="F380" s="19" t="n"/>
      <c r="G380" s="6">
        <f>IF(OR(A380="",E380=""),"",E380*IF(F380="",1,F380))</f>
        <v/>
      </c>
      <c r="H380">
        <f>IF(A380="","",YEAR(A380))</f>
        <v/>
      </c>
      <c r="I380">
        <f>IF(A380="","",IF(MONTH(A380)&lt;=3,1,IF(MONTH(A380)&lt;=5,2,IF(MONTH(A380)&lt;=8,3,4))))</f>
        <v/>
      </c>
      <c r="J380">
        <f>IF(A380="","",MONTH(A380))</f>
        <v/>
      </c>
    </row>
    <row r="381">
      <c r="A381" s="15" t="n"/>
      <c r="B381" s="16" t="n"/>
      <c r="C381" s="16" t="n"/>
      <c r="D381" s="16" t="n"/>
      <c r="E381" s="18" t="n"/>
      <c r="F381" s="19" t="n"/>
      <c r="G381" s="6">
        <f>IF(OR(A381="",E381=""),"",E381*IF(F381="",1,F381))</f>
        <v/>
      </c>
      <c r="H381">
        <f>IF(A381="","",YEAR(A381))</f>
        <v/>
      </c>
      <c r="I381">
        <f>IF(A381="","",IF(MONTH(A381)&lt;=3,1,IF(MONTH(A381)&lt;=5,2,IF(MONTH(A381)&lt;=8,3,4))))</f>
        <v/>
      </c>
      <c r="J381">
        <f>IF(A381="","",MONTH(A381))</f>
        <v/>
      </c>
    </row>
    <row r="382">
      <c r="A382" s="15" t="n"/>
      <c r="B382" s="16" t="n"/>
      <c r="C382" s="16" t="n"/>
      <c r="D382" s="16" t="n"/>
      <c r="E382" s="18" t="n"/>
      <c r="F382" s="19" t="n"/>
      <c r="G382" s="6">
        <f>IF(OR(A382="",E382=""),"",E382*IF(F382="",1,F382))</f>
        <v/>
      </c>
      <c r="H382">
        <f>IF(A382="","",YEAR(A382))</f>
        <v/>
      </c>
      <c r="I382">
        <f>IF(A382="","",IF(MONTH(A382)&lt;=3,1,IF(MONTH(A382)&lt;=5,2,IF(MONTH(A382)&lt;=8,3,4))))</f>
        <v/>
      </c>
      <c r="J382">
        <f>IF(A382="","",MONTH(A382))</f>
        <v/>
      </c>
    </row>
    <row r="383">
      <c r="A383" s="15" t="n"/>
      <c r="B383" s="16" t="n"/>
      <c r="C383" s="16" t="n"/>
      <c r="D383" s="16" t="n"/>
      <c r="E383" s="18" t="n"/>
      <c r="F383" s="19" t="n"/>
      <c r="G383" s="6">
        <f>IF(OR(A383="",E383=""),"",E383*IF(F383="",1,F383))</f>
        <v/>
      </c>
      <c r="H383">
        <f>IF(A383="","",YEAR(A383))</f>
        <v/>
      </c>
      <c r="I383">
        <f>IF(A383="","",IF(MONTH(A383)&lt;=3,1,IF(MONTH(A383)&lt;=5,2,IF(MONTH(A383)&lt;=8,3,4))))</f>
        <v/>
      </c>
      <c r="J383">
        <f>IF(A383="","",MONTH(A383))</f>
        <v/>
      </c>
    </row>
    <row r="384">
      <c r="A384" s="15" t="n"/>
      <c r="B384" s="16" t="n"/>
      <c r="C384" s="16" t="n"/>
      <c r="D384" s="16" t="n"/>
      <c r="E384" s="18" t="n"/>
      <c r="F384" s="19" t="n"/>
      <c r="G384" s="6">
        <f>IF(OR(A384="",E384=""),"",E384*IF(F384="",1,F384))</f>
        <v/>
      </c>
      <c r="H384">
        <f>IF(A384="","",YEAR(A384))</f>
        <v/>
      </c>
      <c r="I384">
        <f>IF(A384="","",IF(MONTH(A384)&lt;=3,1,IF(MONTH(A384)&lt;=5,2,IF(MONTH(A384)&lt;=8,3,4))))</f>
        <v/>
      </c>
      <c r="J384">
        <f>IF(A384="","",MONTH(A384))</f>
        <v/>
      </c>
    </row>
    <row r="385">
      <c r="A385" s="15" t="n"/>
      <c r="B385" s="16" t="n"/>
      <c r="C385" s="16" t="n"/>
      <c r="D385" s="16" t="n"/>
      <c r="E385" s="18" t="n"/>
      <c r="F385" s="19" t="n"/>
      <c r="G385" s="6">
        <f>IF(OR(A385="",E385=""),"",E385*IF(F385="",1,F385))</f>
        <v/>
      </c>
      <c r="H385">
        <f>IF(A385="","",YEAR(A385))</f>
        <v/>
      </c>
      <c r="I385">
        <f>IF(A385="","",IF(MONTH(A385)&lt;=3,1,IF(MONTH(A385)&lt;=5,2,IF(MONTH(A385)&lt;=8,3,4))))</f>
        <v/>
      </c>
      <c r="J385">
        <f>IF(A385="","",MONTH(A385))</f>
        <v/>
      </c>
    </row>
    <row r="386">
      <c r="A386" s="15" t="n"/>
      <c r="B386" s="16" t="n"/>
      <c r="C386" s="16" t="n"/>
      <c r="D386" s="16" t="n"/>
      <c r="E386" s="18" t="n"/>
      <c r="F386" s="19" t="n"/>
      <c r="G386" s="6">
        <f>IF(OR(A386="",E386=""),"",E386*IF(F386="",1,F386))</f>
        <v/>
      </c>
      <c r="H386">
        <f>IF(A386="","",YEAR(A386))</f>
        <v/>
      </c>
      <c r="I386">
        <f>IF(A386="","",IF(MONTH(A386)&lt;=3,1,IF(MONTH(A386)&lt;=5,2,IF(MONTH(A386)&lt;=8,3,4))))</f>
        <v/>
      </c>
      <c r="J386">
        <f>IF(A386="","",MONTH(A386))</f>
        <v/>
      </c>
    </row>
    <row r="387">
      <c r="A387" s="15" t="n"/>
      <c r="B387" s="16" t="n"/>
      <c r="C387" s="16" t="n"/>
      <c r="D387" s="16" t="n"/>
      <c r="E387" s="18" t="n"/>
      <c r="F387" s="19" t="n"/>
      <c r="G387" s="6">
        <f>IF(OR(A387="",E387=""),"",E387*IF(F387="",1,F387))</f>
        <v/>
      </c>
      <c r="H387">
        <f>IF(A387="","",YEAR(A387))</f>
        <v/>
      </c>
      <c r="I387">
        <f>IF(A387="","",IF(MONTH(A387)&lt;=3,1,IF(MONTH(A387)&lt;=5,2,IF(MONTH(A387)&lt;=8,3,4))))</f>
        <v/>
      </c>
      <c r="J387">
        <f>IF(A387="","",MONTH(A387))</f>
        <v/>
      </c>
    </row>
    <row r="388">
      <c r="A388" s="15" t="n"/>
      <c r="B388" s="16" t="n"/>
      <c r="C388" s="16" t="n"/>
      <c r="D388" s="16" t="n"/>
      <c r="E388" s="18" t="n"/>
      <c r="F388" s="19" t="n"/>
      <c r="G388" s="6">
        <f>IF(OR(A388="",E388=""),"",E388*IF(F388="",1,F388))</f>
        <v/>
      </c>
      <c r="H388">
        <f>IF(A388="","",YEAR(A388))</f>
        <v/>
      </c>
      <c r="I388">
        <f>IF(A388="","",IF(MONTH(A388)&lt;=3,1,IF(MONTH(A388)&lt;=5,2,IF(MONTH(A388)&lt;=8,3,4))))</f>
        <v/>
      </c>
      <c r="J388">
        <f>IF(A388="","",MONTH(A388))</f>
        <v/>
      </c>
    </row>
    <row r="389">
      <c r="A389" s="15" t="n"/>
      <c r="B389" s="16" t="n"/>
      <c r="C389" s="16" t="n"/>
      <c r="D389" s="16" t="n"/>
      <c r="E389" s="18" t="n"/>
      <c r="F389" s="19" t="n"/>
      <c r="G389" s="6">
        <f>IF(OR(A389="",E389=""),"",E389*IF(F389="",1,F389))</f>
        <v/>
      </c>
      <c r="H389">
        <f>IF(A389="","",YEAR(A389))</f>
        <v/>
      </c>
      <c r="I389">
        <f>IF(A389="","",IF(MONTH(A389)&lt;=3,1,IF(MONTH(A389)&lt;=5,2,IF(MONTH(A389)&lt;=8,3,4))))</f>
        <v/>
      </c>
      <c r="J389">
        <f>IF(A389="","",MONTH(A389))</f>
        <v/>
      </c>
    </row>
    <row r="390">
      <c r="A390" s="15" t="n"/>
      <c r="B390" s="16" t="n"/>
      <c r="C390" s="16" t="n"/>
      <c r="D390" s="16" t="n"/>
      <c r="E390" s="18" t="n"/>
      <c r="F390" s="19" t="n"/>
      <c r="G390" s="6">
        <f>IF(OR(A390="",E390=""),"",E390*IF(F390="",1,F390))</f>
        <v/>
      </c>
      <c r="H390">
        <f>IF(A390="","",YEAR(A390))</f>
        <v/>
      </c>
      <c r="I390">
        <f>IF(A390="","",IF(MONTH(A390)&lt;=3,1,IF(MONTH(A390)&lt;=5,2,IF(MONTH(A390)&lt;=8,3,4))))</f>
        <v/>
      </c>
      <c r="J390">
        <f>IF(A390="","",MONTH(A390))</f>
        <v/>
      </c>
    </row>
    <row r="391">
      <c r="A391" s="15" t="n"/>
      <c r="B391" s="16" t="n"/>
      <c r="C391" s="16" t="n"/>
      <c r="D391" s="16" t="n"/>
      <c r="E391" s="18" t="n"/>
      <c r="F391" s="19" t="n"/>
      <c r="G391" s="6">
        <f>IF(OR(A391="",E391=""),"",E391*IF(F391="",1,F391))</f>
        <v/>
      </c>
      <c r="H391">
        <f>IF(A391="","",YEAR(A391))</f>
        <v/>
      </c>
      <c r="I391">
        <f>IF(A391="","",IF(MONTH(A391)&lt;=3,1,IF(MONTH(A391)&lt;=5,2,IF(MONTH(A391)&lt;=8,3,4))))</f>
        <v/>
      </c>
      <c r="J391">
        <f>IF(A391="","",MONTH(A391))</f>
        <v/>
      </c>
    </row>
    <row r="392">
      <c r="A392" s="15" t="n"/>
      <c r="B392" s="16" t="n"/>
      <c r="C392" s="16" t="n"/>
      <c r="D392" s="16" t="n"/>
      <c r="E392" s="18" t="n"/>
      <c r="F392" s="19" t="n"/>
      <c r="G392" s="6">
        <f>IF(OR(A392="",E392=""),"",E392*IF(F392="",1,F392))</f>
        <v/>
      </c>
      <c r="H392">
        <f>IF(A392="","",YEAR(A392))</f>
        <v/>
      </c>
      <c r="I392">
        <f>IF(A392="","",IF(MONTH(A392)&lt;=3,1,IF(MONTH(A392)&lt;=5,2,IF(MONTH(A392)&lt;=8,3,4))))</f>
        <v/>
      </c>
      <c r="J392">
        <f>IF(A392="","",MONTH(A392))</f>
        <v/>
      </c>
    </row>
    <row r="393">
      <c r="A393" s="15" t="n"/>
      <c r="B393" s="16" t="n"/>
      <c r="C393" s="16" t="n"/>
      <c r="D393" s="16" t="n"/>
      <c r="E393" s="18" t="n"/>
      <c r="F393" s="19" t="n"/>
      <c r="G393" s="6">
        <f>IF(OR(A393="",E393=""),"",E393*IF(F393="",1,F393))</f>
        <v/>
      </c>
      <c r="H393">
        <f>IF(A393="","",YEAR(A393))</f>
        <v/>
      </c>
      <c r="I393">
        <f>IF(A393="","",IF(MONTH(A393)&lt;=3,1,IF(MONTH(A393)&lt;=5,2,IF(MONTH(A393)&lt;=8,3,4))))</f>
        <v/>
      </c>
      <c r="J393">
        <f>IF(A393="","",MONTH(A393))</f>
        <v/>
      </c>
    </row>
    <row r="394">
      <c r="A394" s="15" t="n"/>
      <c r="B394" s="16" t="n"/>
      <c r="C394" s="16" t="n"/>
      <c r="D394" s="16" t="n"/>
      <c r="E394" s="18" t="n"/>
      <c r="F394" s="19" t="n"/>
      <c r="G394" s="6">
        <f>IF(OR(A394="",E394=""),"",E394*IF(F394="",1,F394))</f>
        <v/>
      </c>
      <c r="H394">
        <f>IF(A394="","",YEAR(A394))</f>
        <v/>
      </c>
      <c r="I394">
        <f>IF(A394="","",IF(MONTH(A394)&lt;=3,1,IF(MONTH(A394)&lt;=5,2,IF(MONTH(A394)&lt;=8,3,4))))</f>
        <v/>
      </c>
      <c r="J394">
        <f>IF(A394="","",MONTH(A394))</f>
        <v/>
      </c>
    </row>
    <row r="395">
      <c r="A395" s="15" t="n"/>
      <c r="B395" s="16" t="n"/>
      <c r="C395" s="16" t="n"/>
      <c r="D395" s="16" t="n"/>
      <c r="E395" s="18" t="n"/>
      <c r="F395" s="19" t="n"/>
      <c r="G395" s="6">
        <f>IF(OR(A395="",E395=""),"",E395*IF(F395="",1,F395))</f>
        <v/>
      </c>
      <c r="H395">
        <f>IF(A395="","",YEAR(A395))</f>
        <v/>
      </c>
      <c r="I395">
        <f>IF(A395="","",IF(MONTH(A395)&lt;=3,1,IF(MONTH(A395)&lt;=5,2,IF(MONTH(A395)&lt;=8,3,4))))</f>
        <v/>
      </c>
      <c r="J395">
        <f>IF(A395="","",MONTH(A395))</f>
        <v/>
      </c>
    </row>
    <row r="396">
      <c r="A396" s="15" t="n"/>
      <c r="B396" s="16" t="n"/>
      <c r="C396" s="16" t="n"/>
      <c r="D396" s="16" t="n"/>
      <c r="E396" s="18" t="n"/>
      <c r="F396" s="19" t="n"/>
      <c r="G396" s="6">
        <f>IF(OR(A396="",E396=""),"",E396*IF(F396="",1,F396))</f>
        <v/>
      </c>
      <c r="H396">
        <f>IF(A396="","",YEAR(A396))</f>
        <v/>
      </c>
      <c r="I396">
        <f>IF(A396="","",IF(MONTH(A396)&lt;=3,1,IF(MONTH(A396)&lt;=5,2,IF(MONTH(A396)&lt;=8,3,4))))</f>
        <v/>
      </c>
      <c r="J396">
        <f>IF(A396="","",MONTH(A396))</f>
        <v/>
      </c>
    </row>
    <row r="397">
      <c r="A397" s="15" t="n"/>
      <c r="B397" s="16" t="n"/>
      <c r="C397" s="16" t="n"/>
      <c r="D397" s="16" t="n"/>
      <c r="E397" s="18" t="n"/>
      <c r="F397" s="19" t="n"/>
      <c r="G397" s="6">
        <f>IF(OR(A397="",E397=""),"",E397*IF(F397="",1,F397))</f>
        <v/>
      </c>
      <c r="H397">
        <f>IF(A397="","",YEAR(A397))</f>
        <v/>
      </c>
      <c r="I397">
        <f>IF(A397="","",IF(MONTH(A397)&lt;=3,1,IF(MONTH(A397)&lt;=5,2,IF(MONTH(A397)&lt;=8,3,4))))</f>
        <v/>
      </c>
      <c r="J397">
        <f>IF(A397="","",MONTH(A397))</f>
        <v/>
      </c>
    </row>
    <row r="398">
      <c r="A398" s="15" t="n"/>
      <c r="B398" s="16" t="n"/>
      <c r="C398" s="16" t="n"/>
      <c r="D398" s="16" t="n"/>
      <c r="E398" s="18" t="n"/>
      <c r="F398" s="19" t="n"/>
      <c r="G398" s="6">
        <f>IF(OR(A398="",E398=""),"",E398*IF(F398="",1,F398))</f>
        <v/>
      </c>
      <c r="H398">
        <f>IF(A398="","",YEAR(A398))</f>
        <v/>
      </c>
      <c r="I398">
        <f>IF(A398="","",IF(MONTH(A398)&lt;=3,1,IF(MONTH(A398)&lt;=5,2,IF(MONTH(A398)&lt;=8,3,4))))</f>
        <v/>
      </c>
      <c r="J398">
        <f>IF(A398="","",MONTH(A398))</f>
        <v/>
      </c>
    </row>
    <row r="399">
      <c r="A399" s="15" t="n"/>
      <c r="B399" s="16" t="n"/>
      <c r="C399" s="16" t="n"/>
      <c r="D399" s="16" t="n"/>
      <c r="E399" s="18" t="n"/>
      <c r="F399" s="19" t="n"/>
      <c r="G399" s="6">
        <f>IF(OR(A399="",E399=""),"",E399*IF(F399="",1,F399))</f>
        <v/>
      </c>
      <c r="H399">
        <f>IF(A399="","",YEAR(A399))</f>
        <v/>
      </c>
      <c r="I399">
        <f>IF(A399="","",IF(MONTH(A399)&lt;=3,1,IF(MONTH(A399)&lt;=5,2,IF(MONTH(A399)&lt;=8,3,4))))</f>
        <v/>
      </c>
      <c r="J399">
        <f>IF(A399="","",MONTH(A399))</f>
        <v/>
      </c>
    </row>
    <row r="400">
      <c r="A400" s="15" t="n"/>
      <c r="B400" s="16" t="n"/>
      <c r="C400" s="16" t="n"/>
      <c r="D400" s="16" t="n"/>
      <c r="E400" s="18" t="n"/>
      <c r="F400" s="19" t="n"/>
      <c r="G400" s="6">
        <f>IF(OR(A400="",E400=""),"",E400*IF(F400="",1,F400))</f>
        <v/>
      </c>
      <c r="H400">
        <f>IF(A400="","",YEAR(A400))</f>
        <v/>
      </c>
      <c r="I400">
        <f>IF(A400="","",IF(MONTH(A400)&lt;=3,1,IF(MONTH(A400)&lt;=5,2,IF(MONTH(A400)&lt;=8,3,4))))</f>
        <v/>
      </c>
      <c r="J400">
        <f>IF(A400="","",MONTH(A400))</f>
        <v/>
      </c>
    </row>
    <row r="401">
      <c r="A401" s="15" t="n"/>
      <c r="B401" s="16" t="n"/>
      <c r="C401" s="16" t="n"/>
      <c r="D401" s="16" t="n"/>
      <c r="E401" s="18" t="n"/>
      <c r="F401" s="19" t="n"/>
      <c r="G401" s="6">
        <f>IF(OR(A401="",E401=""),"",E401*IF(F401="",1,F401))</f>
        <v/>
      </c>
      <c r="H401">
        <f>IF(A401="","",YEAR(A401))</f>
        <v/>
      </c>
      <c r="I401">
        <f>IF(A401="","",IF(MONTH(A401)&lt;=3,1,IF(MONTH(A401)&lt;=5,2,IF(MONTH(A401)&lt;=8,3,4))))</f>
        <v/>
      </c>
      <c r="J401">
        <f>IF(A401="","",MONTH(A401))</f>
        <v/>
      </c>
    </row>
    <row r="402">
      <c r="A402" s="15" t="n"/>
      <c r="B402" s="16" t="n"/>
      <c r="C402" s="16" t="n"/>
      <c r="D402" s="16" t="n"/>
      <c r="E402" s="18" t="n"/>
      <c r="F402" s="19" t="n"/>
      <c r="G402" s="6">
        <f>IF(OR(A402="",E402=""),"",E402*IF(F402="",1,F402))</f>
        <v/>
      </c>
      <c r="H402">
        <f>IF(A402="","",YEAR(A402))</f>
        <v/>
      </c>
      <c r="I402">
        <f>IF(A402="","",IF(MONTH(A402)&lt;=3,1,IF(MONTH(A402)&lt;=5,2,IF(MONTH(A402)&lt;=8,3,4))))</f>
        <v/>
      </c>
      <c r="J402">
        <f>IF(A402="","",MONTH(A402))</f>
        <v/>
      </c>
    </row>
    <row r="403">
      <c r="A403" s="15" t="n"/>
      <c r="B403" s="16" t="n"/>
      <c r="C403" s="16" t="n"/>
      <c r="D403" s="16" t="n"/>
      <c r="E403" s="18" t="n"/>
      <c r="F403" s="19" t="n"/>
      <c r="G403" s="6">
        <f>IF(OR(A403="",E403=""),"",E403*IF(F403="",1,F403))</f>
        <v/>
      </c>
      <c r="H403">
        <f>IF(A403="","",YEAR(A403))</f>
        <v/>
      </c>
      <c r="I403">
        <f>IF(A403="","",IF(MONTH(A403)&lt;=3,1,IF(MONTH(A403)&lt;=5,2,IF(MONTH(A403)&lt;=8,3,4))))</f>
        <v/>
      </c>
      <c r="J403">
        <f>IF(A403="","",MONTH(A403))</f>
        <v/>
      </c>
    </row>
    <row r="404">
      <c r="A404" s="15" t="n"/>
      <c r="B404" s="16" t="n"/>
      <c r="C404" s="16" t="n"/>
      <c r="D404" s="16" t="n"/>
      <c r="E404" s="18" t="n"/>
      <c r="F404" s="19" t="n"/>
      <c r="G404" s="6">
        <f>IF(OR(A404="",E404=""),"",E404*IF(F404="",1,F404))</f>
        <v/>
      </c>
      <c r="H404">
        <f>IF(A404="","",YEAR(A404))</f>
        <v/>
      </c>
      <c r="I404">
        <f>IF(A404="","",IF(MONTH(A404)&lt;=3,1,IF(MONTH(A404)&lt;=5,2,IF(MONTH(A404)&lt;=8,3,4))))</f>
        <v/>
      </c>
      <c r="J404">
        <f>IF(A404="","",MONTH(A404))</f>
        <v/>
      </c>
    </row>
    <row r="405">
      <c r="A405" s="15" t="n"/>
      <c r="B405" s="16" t="n"/>
      <c r="C405" s="16" t="n"/>
      <c r="D405" s="16" t="n"/>
      <c r="E405" s="18" t="n"/>
      <c r="F405" s="19" t="n"/>
      <c r="G405" s="6">
        <f>IF(OR(A405="",E405=""),"",E405*IF(F405="",1,F405))</f>
        <v/>
      </c>
      <c r="H405">
        <f>IF(A405="","",YEAR(A405))</f>
        <v/>
      </c>
      <c r="I405">
        <f>IF(A405="","",IF(MONTH(A405)&lt;=3,1,IF(MONTH(A405)&lt;=5,2,IF(MONTH(A405)&lt;=8,3,4))))</f>
        <v/>
      </c>
      <c r="J405">
        <f>IF(A405="","",MONTH(A405))</f>
        <v/>
      </c>
    </row>
    <row r="406">
      <c r="A406" s="15" t="n"/>
      <c r="B406" s="16" t="n"/>
      <c r="C406" s="16" t="n"/>
      <c r="D406" s="16" t="n"/>
      <c r="E406" s="18" t="n"/>
      <c r="F406" s="19" t="n"/>
      <c r="G406" s="6">
        <f>IF(OR(A406="",E406=""),"",E406*IF(F406="",1,F406))</f>
        <v/>
      </c>
      <c r="H406">
        <f>IF(A406="","",YEAR(A406))</f>
        <v/>
      </c>
      <c r="I406">
        <f>IF(A406="","",IF(MONTH(A406)&lt;=3,1,IF(MONTH(A406)&lt;=5,2,IF(MONTH(A406)&lt;=8,3,4))))</f>
        <v/>
      </c>
      <c r="J406">
        <f>IF(A406="","",MONTH(A406))</f>
        <v/>
      </c>
    </row>
    <row r="407">
      <c r="A407" s="15" t="n"/>
      <c r="B407" s="16" t="n"/>
      <c r="C407" s="16" t="n"/>
      <c r="D407" s="16" t="n"/>
      <c r="E407" s="18" t="n"/>
      <c r="F407" s="19" t="n"/>
      <c r="G407" s="6">
        <f>IF(OR(A407="",E407=""),"",E407*IF(F407="",1,F407))</f>
        <v/>
      </c>
      <c r="H407">
        <f>IF(A407="","",YEAR(A407))</f>
        <v/>
      </c>
      <c r="I407">
        <f>IF(A407="","",IF(MONTH(A407)&lt;=3,1,IF(MONTH(A407)&lt;=5,2,IF(MONTH(A407)&lt;=8,3,4))))</f>
        <v/>
      </c>
      <c r="J407">
        <f>IF(A407="","",MONTH(A407))</f>
        <v/>
      </c>
    </row>
    <row r="408">
      <c r="A408" s="15" t="n"/>
      <c r="B408" s="16" t="n"/>
      <c r="C408" s="16" t="n"/>
      <c r="D408" s="16" t="n"/>
      <c r="E408" s="18" t="n"/>
      <c r="F408" s="19" t="n"/>
      <c r="G408" s="6">
        <f>IF(OR(A408="",E408=""),"",E408*IF(F408="",1,F408))</f>
        <v/>
      </c>
      <c r="H408">
        <f>IF(A408="","",YEAR(A408))</f>
        <v/>
      </c>
      <c r="I408">
        <f>IF(A408="","",IF(MONTH(A408)&lt;=3,1,IF(MONTH(A408)&lt;=5,2,IF(MONTH(A408)&lt;=8,3,4))))</f>
        <v/>
      </c>
      <c r="J408">
        <f>IF(A408="","",MONTH(A408))</f>
        <v/>
      </c>
    </row>
    <row r="409">
      <c r="A409" s="15" t="n"/>
      <c r="B409" s="16" t="n"/>
      <c r="C409" s="16" t="n"/>
      <c r="D409" s="16" t="n"/>
      <c r="E409" s="18" t="n"/>
      <c r="F409" s="19" t="n"/>
      <c r="G409" s="6">
        <f>IF(OR(A409="",E409=""),"",E409*IF(F409="",1,F409))</f>
        <v/>
      </c>
      <c r="H409">
        <f>IF(A409="","",YEAR(A409))</f>
        <v/>
      </c>
      <c r="I409">
        <f>IF(A409="","",IF(MONTH(A409)&lt;=3,1,IF(MONTH(A409)&lt;=5,2,IF(MONTH(A409)&lt;=8,3,4))))</f>
        <v/>
      </c>
      <c r="J409">
        <f>IF(A409="","",MONTH(A409))</f>
        <v/>
      </c>
    </row>
    <row r="410">
      <c r="A410" s="15" t="n"/>
      <c r="B410" s="16" t="n"/>
      <c r="C410" s="16" t="n"/>
      <c r="D410" s="16" t="n"/>
      <c r="E410" s="18" t="n"/>
      <c r="F410" s="19" t="n"/>
      <c r="G410" s="6">
        <f>IF(OR(A410="",E410=""),"",E410*IF(F410="",1,F410))</f>
        <v/>
      </c>
      <c r="H410">
        <f>IF(A410="","",YEAR(A410))</f>
        <v/>
      </c>
      <c r="I410">
        <f>IF(A410="","",IF(MONTH(A410)&lt;=3,1,IF(MONTH(A410)&lt;=5,2,IF(MONTH(A410)&lt;=8,3,4))))</f>
        <v/>
      </c>
      <c r="J410">
        <f>IF(A410="","",MONTH(A410))</f>
        <v/>
      </c>
    </row>
    <row r="411">
      <c r="A411" s="15" t="n"/>
      <c r="B411" s="16" t="n"/>
      <c r="C411" s="16" t="n"/>
      <c r="D411" s="16" t="n"/>
      <c r="E411" s="18" t="n"/>
      <c r="F411" s="19" t="n"/>
      <c r="G411" s="6">
        <f>IF(OR(A411="",E411=""),"",E411*IF(F411="",1,F411))</f>
        <v/>
      </c>
      <c r="H411">
        <f>IF(A411="","",YEAR(A411))</f>
        <v/>
      </c>
      <c r="I411">
        <f>IF(A411="","",IF(MONTH(A411)&lt;=3,1,IF(MONTH(A411)&lt;=5,2,IF(MONTH(A411)&lt;=8,3,4))))</f>
        <v/>
      </c>
      <c r="J411">
        <f>IF(A411="","",MONTH(A411))</f>
        <v/>
      </c>
    </row>
    <row r="412">
      <c r="A412" s="15" t="n"/>
      <c r="B412" s="16" t="n"/>
      <c r="C412" s="16" t="n"/>
      <c r="D412" s="16" t="n"/>
      <c r="E412" s="18" t="n"/>
      <c r="F412" s="19" t="n"/>
      <c r="G412" s="6">
        <f>IF(OR(A412="",E412=""),"",E412*IF(F412="",1,F412))</f>
        <v/>
      </c>
      <c r="H412">
        <f>IF(A412="","",YEAR(A412))</f>
        <v/>
      </c>
      <c r="I412">
        <f>IF(A412="","",IF(MONTH(A412)&lt;=3,1,IF(MONTH(A412)&lt;=5,2,IF(MONTH(A412)&lt;=8,3,4))))</f>
        <v/>
      </c>
      <c r="J412">
        <f>IF(A412="","",MONTH(A412))</f>
        <v/>
      </c>
    </row>
    <row r="413">
      <c r="A413" s="15" t="n"/>
      <c r="B413" s="16" t="n"/>
      <c r="C413" s="16" t="n"/>
      <c r="D413" s="16" t="n"/>
      <c r="E413" s="18" t="n"/>
      <c r="F413" s="19" t="n"/>
      <c r="G413" s="6">
        <f>IF(OR(A413="",E413=""),"",E413*IF(F413="",1,F413))</f>
        <v/>
      </c>
      <c r="H413">
        <f>IF(A413="","",YEAR(A413))</f>
        <v/>
      </c>
      <c r="I413">
        <f>IF(A413="","",IF(MONTH(A413)&lt;=3,1,IF(MONTH(A413)&lt;=5,2,IF(MONTH(A413)&lt;=8,3,4))))</f>
        <v/>
      </c>
      <c r="J413">
        <f>IF(A413="","",MONTH(A413))</f>
        <v/>
      </c>
    </row>
    <row r="414">
      <c r="A414" s="15" t="n"/>
      <c r="B414" s="16" t="n"/>
      <c r="C414" s="16" t="n"/>
      <c r="D414" s="16" t="n"/>
      <c r="E414" s="18" t="n"/>
      <c r="F414" s="19" t="n"/>
      <c r="G414" s="6">
        <f>IF(OR(A414="",E414=""),"",E414*IF(F414="",1,F414))</f>
        <v/>
      </c>
      <c r="H414">
        <f>IF(A414="","",YEAR(A414))</f>
        <v/>
      </c>
      <c r="I414">
        <f>IF(A414="","",IF(MONTH(A414)&lt;=3,1,IF(MONTH(A414)&lt;=5,2,IF(MONTH(A414)&lt;=8,3,4))))</f>
        <v/>
      </c>
      <c r="J414">
        <f>IF(A414="","",MONTH(A414))</f>
        <v/>
      </c>
    </row>
    <row r="415">
      <c r="A415" s="15" t="n"/>
      <c r="B415" s="16" t="n"/>
      <c r="C415" s="16" t="n"/>
      <c r="D415" s="16" t="n"/>
      <c r="E415" s="18" t="n"/>
      <c r="F415" s="19" t="n"/>
      <c r="G415" s="6">
        <f>IF(OR(A415="",E415=""),"",E415*IF(F415="",1,F415))</f>
        <v/>
      </c>
      <c r="H415">
        <f>IF(A415="","",YEAR(A415))</f>
        <v/>
      </c>
      <c r="I415">
        <f>IF(A415="","",IF(MONTH(A415)&lt;=3,1,IF(MONTH(A415)&lt;=5,2,IF(MONTH(A415)&lt;=8,3,4))))</f>
        <v/>
      </c>
      <c r="J415">
        <f>IF(A415="","",MONTH(A415))</f>
        <v/>
      </c>
    </row>
    <row r="416">
      <c r="A416" s="15" t="n"/>
      <c r="B416" s="16" t="n"/>
      <c r="C416" s="16" t="n"/>
      <c r="D416" s="16" t="n"/>
      <c r="E416" s="18" t="n"/>
      <c r="F416" s="19" t="n"/>
      <c r="G416" s="6">
        <f>IF(OR(A416="",E416=""),"",E416*IF(F416="",1,F416))</f>
        <v/>
      </c>
      <c r="H416">
        <f>IF(A416="","",YEAR(A416))</f>
        <v/>
      </c>
      <c r="I416">
        <f>IF(A416="","",IF(MONTH(A416)&lt;=3,1,IF(MONTH(A416)&lt;=5,2,IF(MONTH(A416)&lt;=8,3,4))))</f>
        <v/>
      </c>
      <c r="J416">
        <f>IF(A416="","",MONTH(A416))</f>
        <v/>
      </c>
    </row>
    <row r="417">
      <c r="A417" s="15" t="n"/>
      <c r="B417" s="16" t="n"/>
      <c r="C417" s="16" t="n"/>
      <c r="D417" s="16" t="n"/>
      <c r="E417" s="18" t="n"/>
      <c r="F417" s="19" t="n"/>
      <c r="G417" s="6">
        <f>IF(OR(A417="",E417=""),"",E417*IF(F417="",1,F417))</f>
        <v/>
      </c>
      <c r="H417">
        <f>IF(A417="","",YEAR(A417))</f>
        <v/>
      </c>
      <c r="I417">
        <f>IF(A417="","",IF(MONTH(A417)&lt;=3,1,IF(MONTH(A417)&lt;=5,2,IF(MONTH(A417)&lt;=8,3,4))))</f>
        <v/>
      </c>
      <c r="J417">
        <f>IF(A417="","",MONTH(A417))</f>
        <v/>
      </c>
    </row>
    <row r="418">
      <c r="A418" s="15" t="n"/>
      <c r="B418" s="16" t="n"/>
      <c r="C418" s="16" t="n"/>
      <c r="D418" s="16" t="n"/>
      <c r="E418" s="18" t="n"/>
      <c r="F418" s="19" t="n"/>
      <c r="G418" s="6">
        <f>IF(OR(A418="",E418=""),"",E418*IF(F418="",1,F418))</f>
        <v/>
      </c>
      <c r="H418">
        <f>IF(A418="","",YEAR(A418))</f>
        <v/>
      </c>
      <c r="I418">
        <f>IF(A418="","",IF(MONTH(A418)&lt;=3,1,IF(MONTH(A418)&lt;=5,2,IF(MONTH(A418)&lt;=8,3,4))))</f>
        <v/>
      </c>
      <c r="J418">
        <f>IF(A418="","",MONTH(A418))</f>
        <v/>
      </c>
    </row>
    <row r="419">
      <c r="A419" s="15" t="n"/>
      <c r="B419" s="16" t="n"/>
      <c r="C419" s="16" t="n"/>
      <c r="D419" s="16" t="n"/>
      <c r="E419" s="18" t="n"/>
      <c r="F419" s="19" t="n"/>
      <c r="G419" s="6">
        <f>IF(OR(A419="",E419=""),"",E419*IF(F419="",1,F419))</f>
        <v/>
      </c>
      <c r="H419">
        <f>IF(A419="","",YEAR(A419))</f>
        <v/>
      </c>
      <c r="I419">
        <f>IF(A419="","",IF(MONTH(A419)&lt;=3,1,IF(MONTH(A419)&lt;=5,2,IF(MONTH(A419)&lt;=8,3,4))))</f>
        <v/>
      </c>
      <c r="J419">
        <f>IF(A419="","",MONTH(A419))</f>
        <v/>
      </c>
    </row>
    <row r="420">
      <c r="A420" s="15" t="n"/>
      <c r="B420" s="16" t="n"/>
      <c r="C420" s="16" t="n"/>
      <c r="D420" s="16" t="n"/>
      <c r="E420" s="18" t="n"/>
      <c r="F420" s="19" t="n"/>
      <c r="G420" s="6">
        <f>IF(OR(A420="",E420=""),"",E420*IF(F420="",1,F420))</f>
        <v/>
      </c>
      <c r="H420">
        <f>IF(A420="","",YEAR(A420))</f>
        <v/>
      </c>
      <c r="I420">
        <f>IF(A420="","",IF(MONTH(A420)&lt;=3,1,IF(MONTH(A420)&lt;=5,2,IF(MONTH(A420)&lt;=8,3,4))))</f>
        <v/>
      </c>
      <c r="J420">
        <f>IF(A420="","",MONTH(A420))</f>
        <v/>
      </c>
    </row>
    <row r="421">
      <c r="A421" s="15" t="n"/>
      <c r="B421" s="16" t="n"/>
      <c r="C421" s="16" t="n"/>
      <c r="D421" s="16" t="n"/>
      <c r="E421" s="18" t="n"/>
      <c r="F421" s="19" t="n"/>
      <c r="G421" s="6">
        <f>IF(OR(A421="",E421=""),"",E421*IF(F421="",1,F421))</f>
        <v/>
      </c>
      <c r="H421">
        <f>IF(A421="","",YEAR(A421))</f>
        <v/>
      </c>
      <c r="I421">
        <f>IF(A421="","",IF(MONTH(A421)&lt;=3,1,IF(MONTH(A421)&lt;=5,2,IF(MONTH(A421)&lt;=8,3,4))))</f>
        <v/>
      </c>
      <c r="J421">
        <f>IF(A421="","",MONTH(A421))</f>
        <v/>
      </c>
    </row>
    <row r="422">
      <c r="A422" s="15" t="n"/>
      <c r="B422" s="16" t="n"/>
      <c r="C422" s="16" t="n"/>
      <c r="D422" s="16" t="n"/>
      <c r="E422" s="18" t="n"/>
      <c r="F422" s="19" t="n"/>
      <c r="G422" s="6">
        <f>IF(OR(A422="",E422=""),"",E422*IF(F422="",1,F422))</f>
        <v/>
      </c>
      <c r="H422">
        <f>IF(A422="","",YEAR(A422))</f>
        <v/>
      </c>
      <c r="I422">
        <f>IF(A422="","",IF(MONTH(A422)&lt;=3,1,IF(MONTH(A422)&lt;=5,2,IF(MONTH(A422)&lt;=8,3,4))))</f>
        <v/>
      </c>
      <c r="J422">
        <f>IF(A422="","",MONTH(A422))</f>
        <v/>
      </c>
    </row>
    <row r="423">
      <c r="A423" s="15" t="n"/>
      <c r="B423" s="16" t="n"/>
      <c r="C423" s="16" t="n"/>
      <c r="D423" s="16" t="n"/>
      <c r="E423" s="18" t="n"/>
      <c r="F423" s="19" t="n"/>
      <c r="G423" s="6">
        <f>IF(OR(A423="",E423=""),"",E423*IF(F423="",1,F423))</f>
        <v/>
      </c>
      <c r="H423">
        <f>IF(A423="","",YEAR(A423))</f>
        <v/>
      </c>
      <c r="I423">
        <f>IF(A423="","",IF(MONTH(A423)&lt;=3,1,IF(MONTH(A423)&lt;=5,2,IF(MONTH(A423)&lt;=8,3,4))))</f>
        <v/>
      </c>
      <c r="J423">
        <f>IF(A423="","",MONTH(A423))</f>
        <v/>
      </c>
    </row>
    <row r="424">
      <c r="A424" s="15" t="n"/>
      <c r="B424" s="16" t="n"/>
      <c r="C424" s="16" t="n"/>
      <c r="D424" s="16" t="n"/>
      <c r="E424" s="18" t="n"/>
      <c r="F424" s="19" t="n"/>
      <c r="G424" s="6">
        <f>IF(OR(A424="",E424=""),"",E424*IF(F424="",1,F424))</f>
        <v/>
      </c>
      <c r="H424">
        <f>IF(A424="","",YEAR(A424))</f>
        <v/>
      </c>
      <c r="I424">
        <f>IF(A424="","",IF(MONTH(A424)&lt;=3,1,IF(MONTH(A424)&lt;=5,2,IF(MONTH(A424)&lt;=8,3,4))))</f>
        <v/>
      </c>
      <c r="J424">
        <f>IF(A424="","",MONTH(A424))</f>
        <v/>
      </c>
    </row>
    <row r="425">
      <c r="A425" s="15" t="n"/>
      <c r="B425" s="16" t="n"/>
      <c r="C425" s="16" t="n"/>
      <c r="D425" s="16" t="n"/>
      <c r="E425" s="18" t="n"/>
      <c r="F425" s="19" t="n"/>
      <c r="G425" s="6">
        <f>IF(OR(A425="",E425=""),"",E425*IF(F425="",1,F425))</f>
        <v/>
      </c>
      <c r="H425">
        <f>IF(A425="","",YEAR(A425))</f>
        <v/>
      </c>
      <c r="I425">
        <f>IF(A425="","",IF(MONTH(A425)&lt;=3,1,IF(MONTH(A425)&lt;=5,2,IF(MONTH(A425)&lt;=8,3,4))))</f>
        <v/>
      </c>
      <c r="J425">
        <f>IF(A425="","",MONTH(A425))</f>
        <v/>
      </c>
    </row>
    <row r="426">
      <c r="A426" s="15" t="n"/>
      <c r="B426" s="16" t="n"/>
      <c r="C426" s="16" t="n"/>
      <c r="D426" s="16" t="n"/>
      <c r="E426" s="18" t="n"/>
      <c r="F426" s="19" t="n"/>
      <c r="G426" s="6">
        <f>IF(OR(A426="",E426=""),"",E426*IF(F426="",1,F426))</f>
        <v/>
      </c>
      <c r="H426">
        <f>IF(A426="","",YEAR(A426))</f>
        <v/>
      </c>
      <c r="I426">
        <f>IF(A426="","",IF(MONTH(A426)&lt;=3,1,IF(MONTH(A426)&lt;=5,2,IF(MONTH(A426)&lt;=8,3,4))))</f>
        <v/>
      </c>
      <c r="J426">
        <f>IF(A426="","",MONTH(A426))</f>
        <v/>
      </c>
    </row>
    <row r="427">
      <c r="A427" s="15" t="n"/>
      <c r="B427" s="16" t="n"/>
      <c r="C427" s="16" t="n"/>
      <c r="D427" s="16" t="n"/>
      <c r="E427" s="18" t="n"/>
      <c r="F427" s="19" t="n"/>
      <c r="G427" s="6">
        <f>IF(OR(A427="",E427=""),"",E427*IF(F427="",1,F427))</f>
        <v/>
      </c>
      <c r="H427">
        <f>IF(A427="","",YEAR(A427))</f>
        <v/>
      </c>
      <c r="I427">
        <f>IF(A427="","",IF(MONTH(A427)&lt;=3,1,IF(MONTH(A427)&lt;=5,2,IF(MONTH(A427)&lt;=8,3,4))))</f>
        <v/>
      </c>
      <c r="J427">
        <f>IF(A427="","",MONTH(A427))</f>
        <v/>
      </c>
    </row>
    <row r="428">
      <c r="A428" s="15" t="n"/>
      <c r="B428" s="16" t="n"/>
      <c r="C428" s="16" t="n"/>
      <c r="D428" s="16" t="n"/>
      <c r="E428" s="18" t="n"/>
      <c r="F428" s="19" t="n"/>
      <c r="G428" s="6">
        <f>IF(OR(A428="",E428=""),"",E428*IF(F428="",1,F428))</f>
        <v/>
      </c>
      <c r="H428">
        <f>IF(A428="","",YEAR(A428))</f>
        <v/>
      </c>
      <c r="I428">
        <f>IF(A428="","",IF(MONTH(A428)&lt;=3,1,IF(MONTH(A428)&lt;=5,2,IF(MONTH(A428)&lt;=8,3,4))))</f>
        <v/>
      </c>
      <c r="J428">
        <f>IF(A428="","",MONTH(A428))</f>
        <v/>
      </c>
    </row>
    <row r="429">
      <c r="A429" s="15" t="n"/>
      <c r="B429" s="16" t="n"/>
      <c r="C429" s="16" t="n"/>
      <c r="D429" s="16" t="n"/>
      <c r="E429" s="18" t="n"/>
      <c r="F429" s="19" t="n"/>
      <c r="G429" s="6">
        <f>IF(OR(A429="",E429=""),"",E429*IF(F429="",1,F429))</f>
        <v/>
      </c>
      <c r="H429">
        <f>IF(A429="","",YEAR(A429))</f>
        <v/>
      </c>
      <c r="I429">
        <f>IF(A429="","",IF(MONTH(A429)&lt;=3,1,IF(MONTH(A429)&lt;=5,2,IF(MONTH(A429)&lt;=8,3,4))))</f>
        <v/>
      </c>
      <c r="J429">
        <f>IF(A429="","",MONTH(A429))</f>
        <v/>
      </c>
    </row>
    <row r="430">
      <c r="A430" s="15" t="n"/>
      <c r="B430" s="16" t="n"/>
      <c r="C430" s="16" t="n"/>
      <c r="D430" s="16" t="n"/>
      <c r="E430" s="18" t="n"/>
      <c r="F430" s="19" t="n"/>
      <c r="G430" s="6">
        <f>IF(OR(A430="",E430=""),"",E430*IF(F430="",1,F430))</f>
        <v/>
      </c>
      <c r="H430">
        <f>IF(A430="","",YEAR(A430))</f>
        <v/>
      </c>
      <c r="I430">
        <f>IF(A430="","",IF(MONTH(A430)&lt;=3,1,IF(MONTH(A430)&lt;=5,2,IF(MONTH(A430)&lt;=8,3,4))))</f>
        <v/>
      </c>
      <c r="J430">
        <f>IF(A430="","",MONTH(A430))</f>
        <v/>
      </c>
    </row>
    <row r="431">
      <c r="A431" s="15" t="n"/>
      <c r="B431" s="16" t="n"/>
      <c r="C431" s="16" t="n"/>
      <c r="D431" s="16" t="n"/>
      <c r="E431" s="18" t="n"/>
      <c r="F431" s="19" t="n"/>
      <c r="G431" s="6">
        <f>IF(OR(A431="",E431=""),"",E431*IF(F431="",1,F431))</f>
        <v/>
      </c>
      <c r="H431">
        <f>IF(A431="","",YEAR(A431))</f>
        <v/>
      </c>
      <c r="I431">
        <f>IF(A431="","",IF(MONTH(A431)&lt;=3,1,IF(MONTH(A431)&lt;=5,2,IF(MONTH(A431)&lt;=8,3,4))))</f>
        <v/>
      </c>
      <c r="J431">
        <f>IF(A431="","",MONTH(A431))</f>
        <v/>
      </c>
    </row>
    <row r="432">
      <c r="A432" s="15" t="n"/>
      <c r="B432" s="16" t="n"/>
      <c r="C432" s="16" t="n"/>
      <c r="D432" s="16" t="n"/>
      <c r="E432" s="18" t="n"/>
      <c r="F432" s="19" t="n"/>
      <c r="G432" s="6">
        <f>IF(OR(A432="",E432=""),"",E432*IF(F432="",1,F432))</f>
        <v/>
      </c>
      <c r="H432">
        <f>IF(A432="","",YEAR(A432))</f>
        <v/>
      </c>
      <c r="I432">
        <f>IF(A432="","",IF(MONTH(A432)&lt;=3,1,IF(MONTH(A432)&lt;=5,2,IF(MONTH(A432)&lt;=8,3,4))))</f>
        <v/>
      </c>
      <c r="J432">
        <f>IF(A432="","",MONTH(A432))</f>
        <v/>
      </c>
    </row>
    <row r="433">
      <c r="A433" s="15" t="n"/>
      <c r="B433" s="16" t="n"/>
      <c r="C433" s="16" t="n"/>
      <c r="D433" s="16" t="n"/>
      <c r="E433" s="18" t="n"/>
      <c r="F433" s="19" t="n"/>
      <c r="G433" s="6">
        <f>IF(OR(A433="",E433=""),"",E433*IF(F433="",1,F433))</f>
        <v/>
      </c>
      <c r="H433">
        <f>IF(A433="","",YEAR(A433))</f>
        <v/>
      </c>
      <c r="I433">
        <f>IF(A433="","",IF(MONTH(A433)&lt;=3,1,IF(MONTH(A433)&lt;=5,2,IF(MONTH(A433)&lt;=8,3,4))))</f>
        <v/>
      </c>
      <c r="J433">
        <f>IF(A433="","",MONTH(A433))</f>
        <v/>
      </c>
    </row>
    <row r="434">
      <c r="A434" s="15" t="n"/>
      <c r="B434" s="16" t="n"/>
      <c r="C434" s="16" t="n"/>
      <c r="D434" s="16" t="n"/>
      <c r="E434" s="18" t="n"/>
      <c r="F434" s="19" t="n"/>
      <c r="G434" s="6">
        <f>IF(OR(A434="",E434=""),"",E434*IF(F434="",1,F434))</f>
        <v/>
      </c>
      <c r="H434">
        <f>IF(A434="","",YEAR(A434))</f>
        <v/>
      </c>
      <c r="I434">
        <f>IF(A434="","",IF(MONTH(A434)&lt;=3,1,IF(MONTH(A434)&lt;=5,2,IF(MONTH(A434)&lt;=8,3,4))))</f>
        <v/>
      </c>
      <c r="J434">
        <f>IF(A434="","",MONTH(A434))</f>
        <v/>
      </c>
    </row>
    <row r="435">
      <c r="A435" s="15" t="n"/>
      <c r="B435" s="16" t="n"/>
      <c r="C435" s="16" t="n"/>
      <c r="D435" s="16" t="n"/>
      <c r="E435" s="18" t="n"/>
      <c r="F435" s="19" t="n"/>
      <c r="G435" s="6">
        <f>IF(OR(A435="",E435=""),"",E435*IF(F435="",1,F435))</f>
        <v/>
      </c>
      <c r="H435">
        <f>IF(A435="","",YEAR(A435))</f>
        <v/>
      </c>
      <c r="I435">
        <f>IF(A435="","",IF(MONTH(A435)&lt;=3,1,IF(MONTH(A435)&lt;=5,2,IF(MONTH(A435)&lt;=8,3,4))))</f>
        <v/>
      </c>
      <c r="J435">
        <f>IF(A435="","",MONTH(A435))</f>
        <v/>
      </c>
    </row>
    <row r="436">
      <c r="A436" s="15" t="n"/>
      <c r="B436" s="16" t="n"/>
      <c r="C436" s="16" t="n"/>
      <c r="D436" s="16" t="n"/>
      <c r="E436" s="18" t="n"/>
      <c r="F436" s="19" t="n"/>
      <c r="G436" s="6">
        <f>IF(OR(A436="",E436=""),"",E436*IF(F436="",1,F436))</f>
        <v/>
      </c>
      <c r="H436">
        <f>IF(A436="","",YEAR(A436))</f>
        <v/>
      </c>
      <c r="I436">
        <f>IF(A436="","",IF(MONTH(A436)&lt;=3,1,IF(MONTH(A436)&lt;=5,2,IF(MONTH(A436)&lt;=8,3,4))))</f>
        <v/>
      </c>
      <c r="J436">
        <f>IF(A436="","",MONTH(A436))</f>
        <v/>
      </c>
    </row>
    <row r="437">
      <c r="A437" s="15" t="n"/>
      <c r="B437" s="16" t="n"/>
      <c r="C437" s="16" t="n"/>
      <c r="D437" s="16" t="n"/>
      <c r="E437" s="18" t="n"/>
      <c r="F437" s="19" t="n"/>
      <c r="G437" s="6">
        <f>IF(OR(A437="",E437=""),"",E437*IF(F437="",1,F437))</f>
        <v/>
      </c>
      <c r="H437">
        <f>IF(A437="","",YEAR(A437))</f>
        <v/>
      </c>
      <c r="I437">
        <f>IF(A437="","",IF(MONTH(A437)&lt;=3,1,IF(MONTH(A437)&lt;=5,2,IF(MONTH(A437)&lt;=8,3,4))))</f>
        <v/>
      </c>
      <c r="J437">
        <f>IF(A437="","",MONTH(A437))</f>
        <v/>
      </c>
    </row>
    <row r="438">
      <c r="A438" s="15" t="n"/>
      <c r="B438" s="16" t="n"/>
      <c r="C438" s="16" t="n"/>
      <c r="D438" s="16" t="n"/>
      <c r="E438" s="18" t="n"/>
      <c r="F438" s="19" t="n"/>
      <c r="G438" s="6">
        <f>IF(OR(A438="",E438=""),"",E438*IF(F438="",1,F438))</f>
        <v/>
      </c>
      <c r="H438">
        <f>IF(A438="","",YEAR(A438))</f>
        <v/>
      </c>
      <c r="I438">
        <f>IF(A438="","",IF(MONTH(A438)&lt;=3,1,IF(MONTH(A438)&lt;=5,2,IF(MONTH(A438)&lt;=8,3,4))))</f>
        <v/>
      </c>
      <c r="J438">
        <f>IF(A438="","",MONTH(A438))</f>
        <v/>
      </c>
    </row>
    <row r="439">
      <c r="A439" s="15" t="n"/>
      <c r="B439" s="16" t="n"/>
      <c r="C439" s="16" t="n"/>
      <c r="D439" s="16" t="n"/>
      <c r="E439" s="18" t="n"/>
      <c r="F439" s="19" t="n"/>
      <c r="G439" s="6">
        <f>IF(OR(A439="",E439=""),"",E439*IF(F439="",1,F439))</f>
        <v/>
      </c>
      <c r="H439">
        <f>IF(A439="","",YEAR(A439))</f>
        <v/>
      </c>
      <c r="I439">
        <f>IF(A439="","",IF(MONTH(A439)&lt;=3,1,IF(MONTH(A439)&lt;=5,2,IF(MONTH(A439)&lt;=8,3,4))))</f>
        <v/>
      </c>
      <c r="J439">
        <f>IF(A439="","",MONTH(A439))</f>
        <v/>
      </c>
    </row>
    <row r="440">
      <c r="A440" s="15" t="n"/>
      <c r="B440" s="16" t="n"/>
      <c r="C440" s="16" t="n"/>
      <c r="D440" s="16" t="n"/>
      <c r="E440" s="18" t="n"/>
      <c r="F440" s="19" t="n"/>
      <c r="G440" s="6">
        <f>IF(OR(A440="",E440=""),"",E440*IF(F440="",1,F440))</f>
        <v/>
      </c>
      <c r="H440">
        <f>IF(A440="","",YEAR(A440))</f>
        <v/>
      </c>
      <c r="I440">
        <f>IF(A440="","",IF(MONTH(A440)&lt;=3,1,IF(MONTH(A440)&lt;=5,2,IF(MONTH(A440)&lt;=8,3,4))))</f>
        <v/>
      </c>
      <c r="J440">
        <f>IF(A440="","",MONTH(A440))</f>
        <v/>
      </c>
    </row>
    <row r="441">
      <c r="A441" s="15" t="n"/>
      <c r="B441" s="16" t="n"/>
      <c r="C441" s="16" t="n"/>
      <c r="D441" s="16" t="n"/>
      <c r="E441" s="18" t="n"/>
      <c r="F441" s="19" t="n"/>
      <c r="G441" s="6">
        <f>IF(OR(A441="",E441=""),"",E441*IF(F441="",1,F441))</f>
        <v/>
      </c>
      <c r="H441">
        <f>IF(A441="","",YEAR(A441))</f>
        <v/>
      </c>
      <c r="I441">
        <f>IF(A441="","",IF(MONTH(A441)&lt;=3,1,IF(MONTH(A441)&lt;=5,2,IF(MONTH(A441)&lt;=8,3,4))))</f>
        <v/>
      </c>
      <c r="J441">
        <f>IF(A441="","",MONTH(A441))</f>
        <v/>
      </c>
    </row>
    <row r="442">
      <c r="A442" s="15" t="n"/>
      <c r="B442" s="16" t="n"/>
      <c r="C442" s="16" t="n"/>
      <c r="D442" s="16" t="n"/>
      <c r="E442" s="18" t="n"/>
      <c r="F442" s="19" t="n"/>
      <c r="G442" s="6">
        <f>IF(OR(A442="",E442=""),"",E442*IF(F442="",1,F442))</f>
        <v/>
      </c>
      <c r="H442">
        <f>IF(A442="","",YEAR(A442))</f>
        <v/>
      </c>
      <c r="I442">
        <f>IF(A442="","",IF(MONTH(A442)&lt;=3,1,IF(MONTH(A442)&lt;=5,2,IF(MONTH(A442)&lt;=8,3,4))))</f>
        <v/>
      </c>
      <c r="J442">
        <f>IF(A442="","",MONTH(A442))</f>
        <v/>
      </c>
    </row>
    <row r="443">
      <c r="A443" s="15" t="n"/>
      <c r="B443" s="16" t="n"/>
      <c r="C443" s="16" t="n"/>
      <c r="D443" s="16" t="n"/>
      <c r="E443" s="18" t="n"/>
      <c r="F443" s="19" t="n"/>
      <c r="G443" s="6">
        <f>IF(OR(A443="",E443=""),"",E443*IF(F443="",1,F443))</f>
        <v/>
      </c>
      <c r="H443">
        <f>IF(A443="","",YEAR(A443))</f>
        <v/>
      </c>
      <c r="I443">
        <f>IF(A443="","",IF(MONTH(A443)&lt;=3,1,IF(MONTH(A443)&lt;=5,2,IF(MONTH(A443)&lt;=8,3,4))))</f>
        <v/>
      </c>
      <c r="J443">
        <f>IF(A443="","",MONTH(A443))</f>
        <v/>
      </c>
    </row>
    <row r="444">
      <c r="A444" s="15" t="n"/>
      <c r="B444" s="16" t="n"/>
      <c r="C444" s="16" t="n"/>
      <c r="D444" s="16" t="n"/>
      <c r="E444" s="18" t="n"/>
      <c r="F444" s="19" t="n"/>
      <c r="G444" s="6">
        <f>IF(OR(A444="",E444=""),"",E444*IF(F444="",1,F444))</f>
        <v/>
      </c>
      <c r="H444">
        <f>IF(A444="","",YEAR(A444))</f>
        <v/>
      </c>
      <c r="I444">
        <f>IF(A444="","",IF(MONTH(A444)&lt;=3,1,IF(MONTH(A444)&lt;=5,2,IF(MONTH(A444)&lt;=8,3,4))))</f>
        <v/>
      </c>
      <c r="J444">
        <f>IF(A444="","",MONTH(A444))</f>
        <v/>
      </c>
    </row>
    <row r="445">
      <c r="A445" s="15" t="n"/>
      <c r="B445" s="16" t="n"/>
      <c r="C445" s="16" t="n"/>
      <c r="D445" s="16" t="n"/>
      <c r="E445" s="18" t="n"/>
      <c r="F445" s="19" t="n"/>
      <c r="G445" s="6">
        <f>IF(OR(A445="",E445=""),"",E445*IF(F445="",1,F445))</f>
        <v/>
      </c>
      <c r="H445">
        <f>IF(A445="","",YEAR(A445))</f>
        <v/>
      </c>
      <c r="I445">
        <f>IF(A445="","",IF(MONTH(A445)&lt;=3,1,IF(MONTH(A445)&lt;=5,2,IF(MONTH(A445)&lt;=8,3,4))))</f>
        <v/>
      </c>
      <c r="J445">
        <f>IF(A445="","",MONTH(A445))</f>
        <v/>
      </c>
    </row>
    <row r="446">
      <c r="A446" s="15" t="n"/>
      <c r="B446" s="16" t="n"/>
      <c r="C446" s="16" t="n"/>
      <c r="D446" s="16" t="n"/>
      <c r="E446" s="18" t="n"/>
      <c r="F446" s="19" t="n"/>
      <c r="G446" s="6">
        <f>IF(OR(A446="",E446=""),"",E446*IF(F446="",1,F446))</f>
        <v/>
      </c>
      <c r="H446">
        <f>IF(A446="","",YEAR(A446))</f>
        <v/>
      </c>
      <c r="I446">
        <f>IF(A446="","",IF(MONTH(A446)&lt;=3,1,IF(MONTH(A446)&lt;=5,2,IF(MONTH(A446)&lt;=8,3,4))))</f>
        <v/>
      </c>
      <c r="J446">
        <f>IF(A446="","",MONTH(A446))</f>
        <v/>
      </c>
    </row>
    <row r="447">
      <c r="A447" s="15" t="n"/>
      <c r="B447" s="16" t="n"/>
      <c r="C447" s="16" t="n"/>
      <c r="D447" s="16" t="n"/>
      <c r="E447" s="18" t="n"/>
      <c r="F447" s="19" t="n"/>
      <c r="G447" s="6">
        <f>IF(OR(A447="",E447=""),"",E447*IF(F447="",1,F447))</f>
        <v/>
      </c>
      <c r="H447">
        <f>IF(A447="","",YEAR(A447))</f>
        <v/>
      </c>
      <c r="I447">
        <f>IF(A447="","",IF(MONTH(A447)&lt;=3,1,IF(MONTH(A447)&lt;=5,2,IF(MONTH(A447)&lt;=8,3,4))))</f>
        <v/>
      </c>
      <c r="J447">
        <f>IF(A447="","",MONTH(A447))</f>
        <v/>
      </c>
    </row>
    <row r="448">
      <c r="A448" s="15" t="n"/>
      <c r="B448" s="16" t="n"/>
      <c r="C448" s="16" t="n"/>
      <c r="D448" s="16" t="n"/>
      <c r="E448" s="18" t="n"/>
      <c r="F448" s="19" t="n"/>
      <c r="G448" s="6">
        <f>IF(OR(A448="",E448=""),"",E448*IF(F448="",1,F448))</f>
        <v/>
      </c>
      <c r="H448">
        <f>IF(A448="","",YEAR(A448))</f>
        <v/>
      </c>
      <c r="I448">
        <f>IF(A448="","",IF(MONTH(A448)&lt;=3,1,IF(MONTH(A448)&lt;=5,2,IF(MONTH(A448)&lt;=8,3,4))))</f>
        <v/>
      </c>
      <c r="J448">
        <f>IF(A448="","",MONTH(A448))</f>
        <v/>
      </c>
    </row>
    <row r="449">
      <c r="A449" s="15" t="n"/>
      <c r="B449" s="16" t="n"/>
      <c r="C449" s="16" t="n"/>
      <c r="D449" s="16" t="n"/>
      <c r="E449" s="18" t="n"/>
      <c r="F449" s="19" t="n"/>
      <c r="G449" s="6">
        <f>IF(OR(A449="",E449=""),"",E449*IF(F449="",1,F449))</f>
        <v/>
      </c>
      <c r="H449">
        <f>IF(A449="","",YEAR(A449))</f>
        <v/>
      </c>
      <c r="I449">
        <f>IF(A449="","",IF(MONTH(A449)&lt;=3,1,IF(MONTH(A449)&lt;=5,2,IF(MONTH(A449)&lt;=8,3,4))))</f>
        <v/>
      </c>
      <c r="J449">
        <f>IF(A449="","",MONTH(A449))</f>
        <v/>
      </c>
    </row>
    <row r="450">
      <c r="A450" s="15" t="n"/>
      <c r="B450" s="16" t="n"/>
      <c r="C450" s="16" t="n"/>
      <c r="D450" s="16" t="n"/>
      <c r="E450" s="18" t="n"/>
      <c r="F450" s="19" t="n"/>
      <c r="G450" s="6">
        <f>IF(OR(A450="",E450=""),"",E450*IF(F450="",1,F450))</f>
        <v/>
      </c>
      <c r="H450">
        <f>IF(A450="","",YEAR(A450))</f>
        <v/>
      </c>
      <c r="I450">
        <f>IF(A450="","",IF(MONTH(A450)&lt;=3,1,IF(MONTH(A450)&lt;=5,2,IF(MONTH(A450)&lt;=8,3,4))))</f>
        <v/>
      </c>
      <c r="J450">
        <f>IF(A450="","",MONTH(A450))</f>
        <v/>
      </c>
    </row>
    <row r="451">
      <c r="A451" s="15" t="n"/>
      <c r="B451" s="16" t="n"/>
      <c r="C451" s="16" t="n"/>
      <c r="D451" s="16" t="n"/>
      <c r="E451" s="18" t="n"/>
      <c r="F451" s="19" t="n"/>
      <c r="G451" s="6">
        <f>IF(OR(A451="",E451=""),"",E451*IF(F451="",1,F451))</f>
        <v/>
      </c>
      <c r="H451">
        <f>IF(A451="","",YEAR(A451))</f>
        <v/>
      </c>
      <c r="I451">
        <f>IF(A451="","",IF(MONTH(A451)&lt;=3,1,IF(MONTH(A451)&lt;=5,2,IF(MONTH(A451)&lt;=8,3,4))))</f>
        <v/>
      </c>
      <c r="J451">
        <f>IF(A451="","",MONTH(A451))</f>
        <v/>
      </c>
    </row>
    <row r="452">
      <c r="A452" s="15" t="n"/>
      <c r="B452" s="16" t="n"/>
      <c r="C452" s="16" t="n"/>
      <c r="D452" s="16" t="n"/>
      <c r="E452" s="18" t="n"/>
      <c r="F452" s="19" t="n"/>
      <c r="G452" s="6">
        <f>IF(OR(A452="",E452=""),"",E452*IF(F452="",1,F452))</f>
        <v/>
      </c>
      <c r="H452">
        <f>IF(A452="","",YEAR(A452))</f>
        <v/>
      </c>
      <c r="I452">
        <f>IF(A452="","",IF(MONTH(A452)&lt;=3,1,IF(MONTH(A452)&lt;=5,2,IF(MONTH(A452)&lt;=8,3,4))))</f>
        <v/>
      </c>
      <c r="J452">
        <f>IF(A452="","",MONTH(A452))</f>
        <v/>
      </c>
    </row>
    <row r="453">
      <c r="A453" s="15" t="n"/>
      <c r="B453" s="16" t="n"/>
      <c r="C453" s="16" t="n"/>
      <c r="D453" s="16" t="n"/>
      <c r="E453" s="18" t="n"/>
      <c r="F453" s="19" t="n"/>
      <c r="G453" s="6">
        <f>IF(OR(A453="",E453=""),"",E453*IF(F453="",1,F453))</f>
        <v/>
      </c>
      <c r="H453">
        <f>IF(A453="","",YEAR(A453))</f>
        <v/>
      </c>
      <c r="I453">
        <f>IF(A453="","",IF(MONTH(A453)&lt;=3,1,IF(MONTH(A453)&lt;=5,2,IF(MONTH(A453)&lt;=8,3,4))))</f>
        <v/>
      </c>
      <c r="J453">
        <f>IF(A453="","",MONTH(A453))</f>
        <v/>
      </c>
    </row>
    <row r="454">
      <c r="A454" s="15" t="n"/>
      <c r="B454" s="16" t="n"/>
      <c r="C454" s="16" t="n"/>
      <c r="D454" s="16" t="n"/>
      <c r="E454" s="18" t="n"/>
      <c r="F454" s="19" t="n"/>
      <c r="G454" s="6">
        <f>IF(OR(A454="",E454=""),"",E454*IF(F454="",1,F454))</f>
        <v/>
      </c>
      <c r="H454">
        <f>IF(A454="","",YEAR(A454))</f>
        <v/>
      </c>
      <c r="I454">
        <f>IF(A454="","",IF(MONTH(A454)&lt;=3,1,IF(MONTH(A454)&lt;=5,2,IF(MONTH(A454)&lt;=8,3,4))))</f>
        <v/>
      </c>
      <c r="J454">
        <f>IF(A454="","",MONTH(A454))</f>
        <v/>
      </c>
    </row>
    <row r="455">
      <c r="A455" s="15" t="n"/>
      <c r="B455" s="16" t="n"/>
      <c r="C455" s="16" t="n"/>
      <c r="D455" s="16" t="n"/>
      <c r="E455" s="18" t="n"/>
      <c r="F455" s="19" t="n"/>
      <c r="G455" s="6">
        <f>IF(OR(A455="",E455=""),"",E455*IF(F455="",1,F455))</f>
        <v/>
      </c>
      <c r="H455">
        <f>IF(A455="","",YEAR(A455))</f>
        <v/>
      </c>
      <c r="I455">
        <f>IF(A455="","",IF(MONTH(A455)&lt;=3,1,IF(MONTH(A455)&lt;=5,2,IF(MONTH(A455)&lt;=8,3,4))))</f>
        <v/>
      </c>
      <c r="J455">
        <f>IF(A455="","",MONTH(A455))</f>
        <v/>
      </c>
    </row>
    <row r="456">
      <c r="A456" s="15" t="n"/>
      <c r="B456" s="16" t="n"/>
      <c r="C456" s="16" t="n"/>
      <c r="D456" s="16" t="n"/>
      <c r="E456" s="18" t="n"/>
      <c r="F456" s="19" t="n"/>
      <c r="G456" s="6">
        <f>IF(OR(A456="",E456=""),"",E456*IF(F456="",1,F456))</f>
        <v/>
      </c>
      <c r="H456">
        <f>IF(A456="","",YEAR(A456))</f>
        <v/>
      </c>
      <c r="I456">
        <f>IF(A456="","",IF(MONTH(A456)&lt;=3,1,IF(MONTH(A456)&lt;=5,2,IF(MONTH(A456)&lt;=8,3,4))))</f>
        <v/>
      </c>
      <c r="J456">
        <f>IF(A456="","",MONTH(A456))</f>
        <v/>
      </c>
    </row>
    <row r="457">
      <c r="A457" s="15" t="n"/>
      <c r="B457" s="16" t="n"/>
      <c r="C457" s="16" t="n"/>
      <c r="D457" s="16" t="n"/>
      <c r="E457" s="18" t="n"/>
      <c r="F457" s="19" t="n"/>
      <c r="G457" s="6">
        <f>IF(OR(A457="",E457=""),"",E457*IF(F457="",1,F457))</f>
        <v/>
      </c>
      <c r="H457">
        <f>IF(A457="","",YEAR(A457))</f>
        <v/>
      </c>
      <c r="I457">
        <f>IF(A457="","",IF(MONTH(A457)&lt;=3,1,IF(MONTH(A457)&lt;=5,2,IF(MONTH(A457)&lt;=8,3,4))))</f>
        <v/>
      </c>
      <c r="J457">
        <f>IF(A457="","",MONTH(A457))</f>
        <v/>
      </c>
    </row>
    <row r="458">
      <c r="A458" s="15" t="n"/>
      <c r="B458" s="16" t="n"/>
      <c r="C458" s="16" t="n"/>
      <c r="D458" s="16" t="n"/>
      <c r="E458" s="18" t="n"/>
      <c r="F458" s="19" t="n"/>
      <c r="G458" s="6">
        <f>IF(OR(A458="",E458=""),"",E458*IF(F458="",1,F458))</f>
        <v/>
      </c>
      <c r="H458">
        <f>IF(A458="","",YEAR(A458))</f>
        <v/>
      </c>
      <c r="I458">
        <f>IF(A458="","",IF(MONTH(A458)&lt;=3,1,IF(MONTH(A458)&lt;=5,2,IF(MONTH(A458)&lt;=8,3,4))))</f>
        <v/>
      </c>
      <c r="J458">
        <f>IF(A458="","",MONTH(A458))</f>
        <v/>
      </c>
    </row>
    <row r="459">
      <c r="A459" s="15" t="n"/>
      <c r="B459" s="16" t="n"/>
      <c r="C459" s="16" t="n"/>
      <c r="D459" s="16" t="n"/>
      <c r="E459" s="18" t="n"/>
      <c r="F459" s="19" t="n"/>
      <c r="G459" s="6">
        <f>IF(OR(A459="",E459=""),"",E459*IF(F459="",1,F459))</f>
        <v/>
      </c>
      <c r="H459">
        <f>IF(A459="","",YEAR(A459))</f>
        <v/>
      </c>
      <c r="I459">
        <f>IF(A459="","",IF(MONTH(A459)&lt;=3,1,IF(MONTH(A459)&lt;=5,2,IF(MONTH(A459)&lt;=8,3,4))))</f>
        <v/>
      </c>
      <c r="J459">
        <f>IF(A459="","",MONTH(A459))</f>
        <v/>
      </c>
    </row>
    <row r="460">
      <c r="A460" s="15" t="n"/>
      <c r="B460" s="16" t="n"/>
      <c r="C460" s="16" t="n"/>
      <c r="D460" s="16" t="n"/>
      <c r="E460" s="18" t="n"/>
      <c r="F460" s="19" t="n"/>
      <c r="G460" s="6">
        <f>IF(OR(A460="",E460=""),"",E460*IF(F460="",1,F460))</f>
        <v/>
      </c>
      <c r="H460">
        <f>IF(A460="","",YEAR(A460))</f>
        <v/>
      </c>
      <c r="I460">
        <f>IF(A460="","",IF(MONTH(A460)&lt;=3,1,IF(MONTH(A460)&lt;=5,2,IF(MONTH(A460)&lt;=8,3,4))))</f>
        <v/>
      </c>
      <c r="J460">
        <f>IF(A460="","",MONTH(A460))</f>
        <v/>
      </c>
    </row>
    <row r="461">
      <c r="A461" s="15" t="n"/>
      <c r="B461" s="16" t="n"/>
      <c r="C461" s="16" t="n"/>
      <c r="D461" s="16" t="n"/>
      <c r="E461" s="18" t="n"/>
      <c r="F461" s="19" t="n"/>
      <c r="G461" s="6">
        <f>IF(OR(A461="",E461=""),"",E461*IF(F461="",1,F461))</f>
        <v/>
      </c>
      <c r="H461">
        <f>IF(A461="","",YEAR(A461))</f>
        <v/>
      </c>
      <c r="I461">
        <f>IF(A461="","",IF(MONTH(A461)&lt;=3,1,IF(MONTH(A461)&lt;=5,2,IF(MONTH(A461)&lt;=8,3,4))))</f>
        <v/>
      </c>
      <c r="J461">
        <f>IF(A461="","",MONTH(A461))</f>
        <v/>
      </c>
    </row>
    <row r="462">
      <c r="A462" s="15" t="n"/>
      <c r="B462" s="16" t="n"/>
      <c r="C462" s="16" t="n"/>
      <c r="D462" s="16" t="n"/>
      <c r="E462" s="18" t="n"/>
      <c r="F462" s="19" t="n"/>
      <c r="G462" s="6">
        <f>IF(OR(A462="",E462=""),"",E462*IF(F462="",1,F462))</f>
        <v/>
      </c>
      <c r="H462">
        <f>IF(A462="","",YEAR(A462))</f>
        <v/>
      </c>
      <c r="I462">
        <f>IF(A462="","",IF(MONTH(A462)&lt;=3,1,IF(MONTH(A462)&lt;=5,2,IF(MONTH(A462)&lt;=8,3,4))))</f>
        <v/>
      </c>
      <c r="J462">
        <f>IF(A462="","",MONTH(A462))</f>
        <v/>
      </c>
    </row>
    <row r="463">
      <c r="A463" s="15" t="n"/>
      <c r="B463" s="16" t="n"/>
      <c r="C463" s="16" t="n"/>
      <c r="D463" s="16" t="n"/>
      <c r="E463" s="18" t="n"/>
      <c r="F463" s="19" t="n"/>
      <c r="G463" s="6">
        <f>IF(OR(A463="",E463=""),"",E463*IF(F463="",1,F463))</f>
        <v/>
      </c>
      <c r="H463">
        <f>IF(A463="","",YEAR(A463))</f>
        <v/>
      </c>
      <c r="I463">
        <f>IF(A463="","",IF(MONTH(A463)&lt;=3,1,IF(MONTH(A463)&lt;=5,2,IF(MONTH(A463)&lt;=8,3,4))))</f>
        <v/>
      </c>
      <c r="J463">
        <f>IF(A463="","",MONTH(A463))</f>
        <v/>
      </c>
    </row>
    <row r="464">
      <c r="A464" s="15" t="n"/>
      <c r="B464" s="16" t="n"/>
      <c r="C464" s="16" t="n"/>
      <c r="D464" s="16" t="n"/>
      <c r="E464" s="18" t="n"/>
      <c r="F464" s="19" t="n"/>
      <c r="G464" s="6">
        <f>IF(OR(A464="",E464=""),"",E464*IF(F464="",1,F464))</f>
        <v/>
      </c>
      <c r="H464">
        <f>IF(A464="","",YEAR(A464))</f>
        <v/>
      </c>
      <c r="I464">
        <f>IF(A464="","",IF(MONTH(A464)&lt;=3,1,IF(MONTH(A464)&lt;=5,2,IF(MONTH(A464)&lt;=8,3,4))))</f>
        <v/>
      </c>
      <c r="J464">
        <f>IF(A464="","",MONTH(A464))</f>
        <v/>
      </c>
    </row>
    <row r="465">
      <c r="A465" s="15" t="n"/>
      <c r="B465" s="16" t="n"/>
      <c r="C465" s="16" t="n"/>
      <c r="D465" s="16" t="n"/>
      <c r="E465" s="18" t="n"/>
      <c r="F465" s="19" t="n"/>
      <c r="G465" s="6">
        <f>IF(OR(A465="",E465=""),"",E465*IF(F465="",1,F465))</f>
        <v/>
      </c>
      <c r="H465">
        <f>IF(A465="","",YEAR(A465))</f>
        <v/>
      </c>
      <c r="I465">
        <f>IF(A465="","",IF(MONTH(A465)&lt;=3,1,IF(MONTH(A465)&lt;=5,2,IF(MONTH(A465)&lt;=8,3,4))))</f>
        <v/>
      </c>
      <c r="J465">
        <f>IF(A465="","",MONTH(A465))</f>
        <v/>
      </c>
    </row>
    <row r="466">
      <c r="A466" s="15" t="n"/>
      <c r="B466" s="16" t="n"/>
      <c r="C466" s="16" t="n"/>
      <c r="D466" s="16" t="n"/>
      <c r="E466" s="18" t="n"/>
      <c r="F466" s="19" t="n"/>
      <c r="G466" s="6">
        <f>IF(OR(A466="",E466=""),"",E466*IF(F466="",1,F466))</f>
        <v/>
      </c>
      <c r="H466">
        <f>IF(A466="","",YEAR(A466))</f>
        <v/>
      </c>
      <c r="I466">
        <f>IF(A466="","",IF(MONTH(A466)&lt;=3,1,IF(MONTH(A466)&lt;=5,2,IF(MONTH(A466)&lt;=8,3,4))))</f>
        <v/>
      </c>
      <c r="J466">
        <f>IF(A466="","",MONTH(A466))</f>
        <v/>
      </c>
    </row>
    <row r="467">
      <c r="A467" s="15" t="n"/>
      <c r="B467" s="16" t="n"/>
      <c r="C467" s="16" t="n"/>
      <c r="D467" s="16" t="n"/>
      <c r="E467" s="18" t="n"/>
      <c r="F467" s="19" t="n"/>
      <c r="G467" s="6">
        <f>IF(OR(A467="",E467=""),"",E467*IF(F467="",1,F467))</f>
        <v/>
      </c>
      <c r="H467">
        <f>IF(A467="","",YEAR(A467))</f>
        <v/>
      </c>
      <c r="I467">
        <f>IF(A467="","",IF(MONTH(A467)&lt;=3,1,IF(MONTH(A467)&lt;=5,2,IF(MONTH(A467)&lt;=8,3,4))))</f>
        <v/>
      </c>
      <c r="J467">
        <f>IF(A467="","",MONTH(A467))</f>
        <v/>
      </c>
    </row>
    <row r="468">
      <c r="A468" s="15" t="n"/>
      <c r="B468" s="16" t="n"/>
      <c r="C468" s="16" t="n"/>
      <c r="D468" s="16" t="n"/>
      <c r="E468" s="18" t="n"/>
      <c r="F468" s="19" t="n"/>
      <c r="G468" s="6">
        <f>IF(OR(A468="",E468=""),"",E468*IF(F468="",1,F468))</f>
        <v/>
      </c>
      <c r="H468">
        <f>IF(A468="","",YEAR(A468))</f>
        <v/>
      </c>
      <c r="I468">
        <f>IF(A468="","",IF(MONTH(A468)&lt;=3,1,IF(MONTH(A468)&lt;=5,2,IF(MONTH(A468)&lt;=8,3,4))))</f>
        <v/>
      </c>
      <c r="J468">
        <f>IF(A468="","",MONTH(A468))</f>
        <v/>
      </c>
    </row>
    <row r="469">
      <c r="A469" s="15" t="n"/>
      <c r="B469" s="16" t="n"/>
      <c r="C469" s="16" t="n"/>
      <c r="D469" s="16" t="n"/>
      <c r="E469" s="18" t="n"/>
      <c r="F469" s="19" t="n"/>
      <c r="G469" s="6">
        <f>IF(OR(A469="",E469=""),"",E469*IF(F469="",1,F469))</f>
        <v/>
      </c>
      <c r="H469">
        <f>IF(A469="","",YEAR(A469))</f>
        <v/>
      </c>
      <c r="I469">
        <f>IF(A469="","",IF(MONTH(A469)&lt;=3,1,IF(MONTH(A469)&lt;=5,2,IF(MONTH(A469)&lt;=8,3,4))))</f>
        <v/>
      </c>
      <c r="J469">
        <f>IF(A469="","",MONTH(A469))</f>
        <v/>
      </c>
    </row>
    <row r="470">
      <c r="A470" s="15" t="n"/>
      <c r="B470" s="16" t="n"/>
      <c r="C470" s="16" t="n"/>
      <c r="D470" s="16" t="n"/>
      <c r="E470" s="18" t="n"/>
      <c r="F470" s="19" t="n"/>
      <c r="G470" s="6">
        <f>IF(OR(A470="",E470=""),"",E470*IF(F470="",1,F470))</f>
        <v/>
      </c>
      <c r="H470">
        <f>IF(A470="","",YEAR(A470))</f>
        <v/>
      </c>
      <c r="I470">
        <f>IF(A470="","",IF(MONTH(A470)&lt;=3,1,IF(MONTH(A470)&lt;=5,2,IF(MONTH(A470)&lt;=8,3,4))))</f>
        <v/>
      </c>
      <c r="J470">
        <f>IF(A470="","",MONTH(A470))</f>
        <v/>
      </c>
    </row>
    <row r="471">
      <c r="A471" s="15" t="n"/>
      <c r="B471" s="16" t="n"/>
      <c r="C471" s="16" t="n"/>
      <c r="D471" s="16" t="n"/>
      <c r="E471" s="18" t="n"/>
      <c r="F471" s="19" t="n"/>
      <c r="G471" s="6">
        <f>IF(OR(A471="",E471=""),"",E471*IF(F471="",1,F471))</f>
        <v/>
      </c>
      <c r="H471">
        <f>IF(A471="","",YEAR(A471))</f>
        <v/>
      </c>
      <c r="I471">
        <f>IF(A471="","",IF(MONTH(A471)&lt;=3,1,IF(MONTH(A471)&lt;=5,2,IF(MONTH(A471)&lt;=8,3,4))))</f>
        <v/>
      </c>
      <c r="J471">
        <f>IF(A471="","",MONTH(A471))</f>
        <v/>
      </c>
    </row>
    <row r="472">
      <c r="A472" s="15" t="n"/>
      <c r="B472" s="16" t="n"/>
      <c r="C472" s="16" t="n"/>
      <c r="D472" s="16" t="n"/>
      <c r="E472" s="18" t="n"/>
      <c r="F472" s="19" t="n"/>
      <c r="G472" s="6">
        <f>IF(OR(A472="",E472=""),"",E472*IF(F472="",1,F472))</f>
        <v/>
      </c>
      <c r="H472">
        <f>IF(A472="","",YEAR(A472))</f>
        <v/>
      </c>
      <c r="I472">
        <f>IF(A472="","",IF(MONTH(A472)&lt;=3,1,IF(MONTH(A472)&lt;=5,2,IF(MONTH(A472)&lt;=8,3,4))))</f>
        <v/>
      </c>
      <c r="J472">
        <f>IF(A472="","",MONTH(A472))</f>
        <v/>
      </c>
    </row>
    <row r="473">
      <c r="A473" s="15" t="n"/>
      <c r="B473" s="16" t="n"/>
      <c r="C473" s="16" t="n"/>
      <c r="D473" s="16" t="n"/>
      <c r="E473" s="18" t="n"/>
      <c r="F473" s="19" t="n"/>
      <c r="G473" s="6">
        <f>IF(OR(A473="",E473=""),"",E473*IF(F473="",1,F473))</f>
        <v/>
      </c>
      <c r="H473">
        <f>IF(A473="","",YEAR(A473))</f>
        <v/>
      </c>
      <c r="I473">
        <f>IF(A473="","",IF(MONTH(A473)&lt;=3,1,IF(MONTH(A473)&lt;=5,2,IF(MONTH(A473)&lt;=8,3,4))))</f>
        <v/>
      </c>
      <c r="J473">
        <f>IF(A473="","",MONTH(A473))</f>
        <v/>
      </c>
    </row>
    <row r="474">
      <c r="A474" s="15" t="n"/>
      <c r="B474" s="16" t="n"/>
      <c r="C474" s="16" t="n"/>
      <c r="D474" s="16" t="n"/>
      <c r="E474" s="18" t="n"/>
      <c r="F474" s="19" t="n"/>
      <c r="G474" s="6">
        <f>IF(OR(A474="",E474=""),"",E474*IF(F474="",1,F474))</f>
        <v/>
      </c>
      <c r="H474">
        <f>IF(A474="","",YEAR(A474))</f>
        <v/>
      </c>
      <c r="I474">
        <f>IF(A474="","",IF(MONTH(A474)&lt;=3,1,IF(MONTH(A474)&lt;=5,2,IF(MONTH(A474)&lt;=8,3,4))))</f>
        <v/>
      </c>
      <c r="J474">
        <f>IF(A474="","",MONTH(A474))</f>
        <v/>
      </c>
    </row>
    <row r="475">
      <c r="A475" s="15" t="n"/>
      <c r="B475" s="16" t="n"/>
      <c r="C475" s="16" t="n"/>
      <c r="D475" s="16" t="n"/>
      <c r="E475" s="18" t="n"/>
      <c r="F475" s="19" t="n"/>
      <c r="G475" s="6">
        <f>IF(OR(A475="",E475=""),"",E475*IF(F475="",1,F475))</f>
        <v/>
      </c>
      <c r="H475">
        <f>IF(A475="","",YEAR(A475))</f>
        <v/>
      </c>
      <c r="I475">
        <f>IF(A475="","",IF(MONTH(A475)&lt;=3,1,IF(MONTH(A475)&lt;=5,2,IF(MONTH(A475)&lt;=8,3,4))))</f>
        <v/>
      </c>
      <c r="J475">
        <f>IF(A475="","",MONTH(A475))</f>
        <v/>
      </c>
    </row>
    <row r="476">
      <c r="A476" s="15" t="n"/>
      <c r="B476" s="16" t="n"/>
      <c r="C476" s="16" t="n"/>
      <c r="D476" s="16" t="n"/>
      <c r="E476" s="18" t="n"/>
      <c r="F476" s="19" t="n"/>
      <c r="G476" s="6">
        <f>IF(OR(A476="",E476=""),"",E476*IF(F476="",1,F476))</f>
        <v/>
      </c>
      <c r="H476">
        <f>IF(A476="","",YEAR(A476))</f>
        <v/>
      </c>
      <c r="I476">
        <f>IF(A476="","",IF(MONTH(A476)&lt;=3,1,IF(MONTH(A476)&lt;=5,2,IF(MONTH(A476)&lt;=8,3,4))))</f>
        <v/>
      </c>
      <c r="J476">
        <f>IF(A476="","",MONTH(A476))</f>
        <v/>
      </c>
    </row>
    <row r="477">
      <c r="A477" s="15" t="n"/>
      <c r="B477" s="16" t="n"/>
      <c r="C477" s="16" t="n"/>
      <c r="D477" s="16" t="n"/>
      <c r="E477" s="18" t="n"/>
      <c r="F477" s="19" t="n"/>
      <c r="G477" s="6">
        <f>IF(OR(A477="",E477=""),"",E477*IF(F477="",1,F477))</f>
        <v/>
      </c>
      <c r="H477">
        <f>IF(A477="","",YEAR(A477))</f>
        <v/>
      </c>
      <c r="I477">
        <f>IF(A477="","",IF(MONTH(A477)&lt;=3,1,IF(MONTH(A477)&lt;=5,2,IF(MONTH(A477)&lt;=8,3,4))))</f>
        <v/>
      </c>
      <c r="J477">
        <f>IF(A477="","",MONTH(A477))</f>
        <v/>
      </c>
    </row>
    <row r="478">
      <c r="A478" s="15" t="n"/>
      <c r="B478" s="16" t="n"/>
      <c r="C478" s="16" t="n"/>
      <c r="D478" s="16" t="n"/>
      <c r="E478" s="18" t="n"/>
      <c r="F478" s="19" t="n"/>
      <c r="G478" s="6">
        <f>IF(OR(A478="",E478=""),"",E478*IF(F478="",1,F478))</f>
        <v/>
      </c>
      <c r="H478">
        <f>IF(A478="","",YEAR(A478))</f>
        <v/>
      </c>
      <c r="I478">
        <f>IF(A478="","",IF(MONTH(A478)&lt;=3,1,IF(MONTH(A478)&lt;=5,2,IF(MONTH(A478)&lt;=8,3,4))))</f>
        <v/>
      </c>
      <c r="J478">
        <f>IF(A478="","",MONTH(A478))</f>
        <v/>
      </c>
    </row>
    <row r="479">
      <c r="A479" s="15" t="n"/>
      <c r="B479" s="16" t="n"/>
      <c r="C479" s="16" t="n"/>
      <c r="D479" s="16" t="n"/>
      <c r="E479" s="18" t="n"/>
      <c r="F479" s="19" t="n"/>
      <c r="G479" s="6">
        <f>IF(OR(A479="",E479=""),"",E479*IF(F479="",1,F479))</f>
        <v/>
      </c>
      <c r="H479">
        <f>IF(A479="","",YEAR(A479))</f>
        <v/>
      </c>
      <c r="I479">
        <f>IF(A479="","",IF(MONTH(A479)&lt;=3,1,IF(MONTH(A479)&lt;=5,2,IF(MONTH(A479)&lt;=8,3,4))))</f>
        <v/>
      </c>
      <c r="J479">
        <f>IF(A479="","",MONTH(A479))</f>
        <v/>
      </c>
    </row>
    <row r="480">
      <c r="A480" s="15" t="n"/>
      <c r="B480" s="16" t="n"/>
      <c r="C480" s="16" t="n"/>
      <c r="D480" s="16" t="n"/>
      <c r="E480" s="18" t="n"/>
      <c r="F480" s="19" t="n"/>
      <c r="G480" s="6">
        <f>IF(OR(A480="",E480=""),"",E480*IF(F480="",1,F480))</f>
        <v/>
      </c>
      <c r="H480">
        <f>IF(A480="","",YEAR(A480))</f>
        <v/>
      </c>
      <c r="I480">
        <f>IF(A480="","",IF(MONTH(A480)&lt;=3,1,IF(MONTH(A480)&lt;=5,2,IF(MONTH(A480)&lt;=8,3,4))))</f>
        <v/>
      </c>
      <c r="J480">
        <f>IF(A480="","",MONTH(A480))</f>
        <v/>
      </c>
    </row>
    <row r="481">
      <c r="A481" s="15" t="n"/>
      <c r="B481" s="16" t="n"/>
      <c r="C481" s="16" t="n"/>
      <c r="D481" s="16" t="n"/>
      <c r="E481" s="18" t="n"/>
      <c r="F481" s="19" t="n"/>
      <c r="G481" s="6">
        <f>IF(OR(A481="",E481=""),"",E481*IF(F481="",1,F481))</f>
        <v/>
      </c>
      <c r="H481">
        <f>IF(A481="","",YEAR(A481))</f>
        <v/>
      </c>
      <c r="I481">
        <f>IF(A481="","",IF(MONTH(A481)&lt;=3,1,IF(MONTH(A481)&lt;=5,2,IF(MONTH(A481)&lt;=8,3,4))))</f>
        <v/>
      </c>
      <c r="J481">
        <f>IF(A481="","",MONTH(A481))</f>
        <v/>
      </c>
    </row>
    <row r="482">
      <c r="A482" s="15" t="n"/>
      <c r="B482" s="16" t="n"/>
      <c r="C482" s="16" t="n"/>
      <c r="D482" s="16" t="n"/>
      <c r="E482" s="18" t="n"/>
      <c r="F482" s="19" t="n"/>
      <c r="G482" s="6">
        <f>IF(OR(A482="",E482=""),"",E482*IF(F482="",1,F482))</f>
        <v/>
      </c>
      <c r="H482">
        <f>IF(A482="","",YEAR(A482))</f>
        <v/>
      </c>
      <c r="I482">
        <f>IF(A482="","",IF(MONTH(A482)&lt;=3,1,IF(MONTH(A482)&lt;=5,2,IF(MONTH(A482)&lt;=8,3,4))))</f>
        <v/>
      </c>
      <c r="J482">
        <f>IF(A482="","",MONTH(A482))</f>
        <v/>
      </c>
    </row>
    <row r="483">
      <c r="A483" s="15" t="n"/>
      <c r="B483" s="16" t="n"/>
      <c r="C483" s="16" t="n"/>
      <c r="D483" s="16" t="n"/>
      <c r="E483" s="18" t="n"/>
      <c r="F483" s="19" t="n"/>
      <c r="G483" s="6">
        <f>IF(OR(A483="",E483=""),"",E483*IF(F483="",1,F483))</f>
        <v/>
      </c>
      <c r="H483">
        <f>IF(A483="","",YEAR(A483))</f>
        <v/>
      </c>
      <c r="I483">
        <f>IF(A483="","",IF(MONTH(A483)&lt;=3,1,IF(MONTH(A483)&lt;=5,2,IF(MONTH(A483)&lt;=8,3,4))))</f>
        <v/>
      </c>
      <c r="J483">
        <f>IF(A483="","",MONTH(A483))</f>
        <v/>
      </c>
    </row>
    <row r="484">
      <c r="A484" s="15" t="n"/>
      <c r="B484" s="16" t="n"/>
      <c r="C484" s="16" t="n"/>
      <c r="D484" s="16" t="n"/>
      <c r="E484" s="18" t="n"/>
      <c r="F484" s="19" t="n"/>
      <c r="G484" s="6">
        <f>IF(OR(A484="",E484=""),"",E484*IF(F484="",1,F484))</f>
        <v/>
      </c>
      <c r="H484">
        <f>IF(A484="","",YEAR(A484))</f>
        <v/>
      </c>
      <c r="I484">
        <f>IF(A484="","",IF(MONTH(A484)&lt;=3,1,IF(MONTH(A484)&lt;=5,2,IF(MONTH(A484)&lt;=8,3,4))))</f>
        <v/>
      </c>
      <c r="J484">
        <f>IF(A484="","",MONTH(A484))</f>
        <v/>
      </c>
    </row>
    <row r="485">
      <c r="A485" s="15" t="n"/>
      <c r="B485" s="16" t="n"/>
      <c r="C485" s="16" t="n"/>
      <c r="D485" s="16" t="n"/>
      <c r="E485" s="18" t="n"/>
      <c r="F485" s="19" t="n"/>
      <c r="G485" s="6">
        <f>IF(OR(A485="",E485=""),"",E485*IF(F485="",1,F485))</f>
        <v/>
      </c>
      <c r="H485">
        <f>IF(A485="","",YEAR(A485))</f>
        <v/>
      </c>
      <c r="I485">
        <f>IF(A485="","",IF(MONTH(A485)&lt;=3,1,IF(MONTH(A485)&lt;=5,2,IF(MONTH(A485)&lt;=8,3,4))))</f>
        <v/>
      </c>
      <c r="J485">
        <f>IF(A485="","",MONTH(A485))</f>
        <v/>
      </c>
    </row>
    <row r="486">
      <c r="A486" s="15" t="n"/>
      <c r="B486" s="16" t="n"/>
      <c r="C486" s="16" t="n"/>
      <c r="D486" s="16" t="n"/>
      <c r="E486" s="18" t="n"/>
      <c r="F486" s="19" t="n"/>
      <c r="G486" s="6">
        <f>IF(OR(A486="",E486=""),"",E486*IF(F486="",1,F486))</f>
        <v/>
      </c>
      <c r="H486">
        <f>IF(A486="","",YEAR(A486))</f>
        <v/>
      </c>
      <c r="I486">
        <f>IF(A486="","",IF(MONTH(A486)&lt;=3,1,IF(MONTH(A486)&lt;=5,2,IF(MONTH(A486)&lt;=8,3,4))))</f>
        <v/>
      </c>
      <c r="J486">
        <f>IF(A486="","",MONTH(A486))</f>
        <v/>
      </c>
    </row>
    <row r="487">
      <c r="A487" s="15" t="n"/>
      <c r="B487" s="16" t="n"/>
      <c r="C487" s="16" t="n"/>
      <c r="D487" s="16" t="n"/>
      <c r="E487" s="18" t="n"/>
      <c r="F487" s="19" t="n"/>
      <c r="G487" s="6">
        <f>IF(OR(A487="",E487=""),"",E487*IF(F487="",1,F487))</f>
        <v/>
      </c>
      <c r="H487">
        <f>IF(A487="","",YEAR(A487))</f>
        <v/>
      </c>
      <c r="I487">
        <f>IF(A487="","",IF(MONTH(A487)&lt;=3,1,IF(MONTH(A487)&lt;=5,2,IF(MONTH(A487)&lt;=8,3,4))))</f>
        <v/>
      </c>
      <c r="J487">
        <f>IF(A487="","",MONTH(A487))</f>
        <v/>
      </c>
    </row>
    <row r="488">
      <c r="A488" s="15" t="n"/>
      <c r="B488" s="16" t="n"/>
      <c r="C488" s="16" t="n"/>
      <c r="D488" s="16" t="n"/>
      <c r="E488" s="18" t="n"/>
      <c r="F488" s="19" t="n"/>
      <c r="G488" s="6">
        <f>IF(OR(A488="",E488=""),"",E488*IF(F488="",1,F488))</f>
        <v/>
      </c>
      <c r="H488">
        <f>IF(A488="","",YEAR(A488))</f>
        <v/>
      </c>
      <c r="I488">
        <f>IF(A488="","",IF(MONTH(A488)&lt;=3,1,IF(MONTH(A488)&lt;=5,2,IF(MONTH(A488)&lt;=8,3,4))))</f>
        <v/>
      </c>
      <c r="J488">
        <f>IF(A488="","",MONTH(A488))</f>
        <v/>
      </c>
    </row>
    <row r="489">
      <c r="A489" s="15" t="n"/>
      <c r="B489" s="16" t="n"/>
      <c r="C489" s="16" t="n"/>
      <c r="D489" s="16" t="n"/>
      <c r="E489" s="18" t="n"/>
      <c r="F489" s="19" t="n"/>
      <c r="G489" s="6">
        <f>IF(OR(A489="",E489=""),"",E489*IF(F489="",1,F489))</f>
        <v/>
      </c>
      <c r="H489">
        <f>IF(A489="","",YEAR(A489))</f>
        <v/>
      </c>
      <c r="I489">
        <f>IF(A489="","",IF(MONTH(A489)&lt;=3,1,IF(MONTH(A489)&lt;=5,2,IF(MONTH(A489)&lt;=8,3,4))))</f>
        <v/>
      </c>
      <c r="J489">
        <f>IF(A489="","",MONTH(A489))</f>
        <v/>
      </c>
    </row>
    <row r="490">
      <c r="A490" s="15" t="n"/>
      <c r="B490" s="16" t="n"/>
      <c r="C490" s="16" t="n"/>
      <c r="D490" s="16" t="n"/>
      <c r="E490" s="18" t="n"/>
      <c r="F490" s="19" t="n"/>
      <c r="G490" s="6">
        <f>IF(OR(A490="",E490=""),"",E490*IF(F490="",1,F490))</f>
        <v/>
      </c>
      <c r="H490">
        <f>IF(A490="","",YEAR(A490))</f>
        <v/>
      </c>
      <c r="I490">
        <f>IF(A490="","",IF(MONTH(A490)&lt;=3,1,IF(MONTH(A490)&lt;=5,2,IF(MONTH(A490)&lt;=8,3,4))))</f>
        <v/>
      </c>
      <c r="J490">
        <f>IF(A490="","",MONTH(A490))</f>
        <v/>
      </c>
    </row>
    <row r="491">
      <c r="A491" s="15" t="n"/>
      <c r="B491" s="16" t="n"/>
      <c r="C491" s="16" t="n"/>
      <c r="D491" s="16" t="n"/>
      <c r="E491" s="18" t="n"/>
      <c r="F491" s="19" t="n"/>
      <c r="G491" s="6">
        <f>IF(OR(A491="",E491=""),"",E491*IF(F491="",1,F491))</f>
        <v/>
      </c>
      <c r="H491">
        <f>IF(A491="","",YEAR(A491))</f>
        <v/>
      </c>
      <c r="I491">
        <f>IF(A491="","",IF(MONTH(A491)&lt;=3,1,IF(MONTH(A491)&lt;=5,2,IF(MONTH(A491)&lt;=8,3,4))))</f>
        <v/>
      </c>
      <c r="J491">
        <f>IF(A491="","",MONTH(A491))</f>
        <v/>
      </c>
    </row>
    <row r="492">
      <c r="A492" s="15" t="n"/>
      <c r="B492" s="16" t="n"/>
      <c r="C492" s="16" t="n"/>
      <c r="D492" s="16" t="n"/>
      <c r="E492" s="18" t="n"/>
      <c r="F492" s="19" t="n"/>
      <c r="G492" s="6">
        <f>IF(OR(A492="",E492=""),"",E492*IF(F492="",1,F492))</f>
        <v/>
      </c>
      <c r="H492">
        <f>IF(A492="","",YEAR(A492))</f>
        <v/>
      </c>
      <c r="I492">
        <f>IF(A492="","",IF(MONTH(A492)&lt;=3,1,IF(MONTH(A492)&lt;=5,2,IF(MONTH(A492)&lt;=8,3,4))))</f>
        <v/>
      </c>
      <c r="J492">
        <f>IF(A492="","",MONTH(A492))</f>
        <v/>
      </c>
    </row>
    <row r="493">
      <c r="A493" s="15" t="n"/>
      <c r="B493" s="16" t="n"/>
      <c r="C493" s="16" t="n"/>
      <c r="D493" s="16" t="n"/>
      <c r="E493" s="18" t="n"/>
      <c r="F493" s="19" t="n"/>
      <c r="G493" s="6">
        <f>IF(OR(A493="",E493=""),"",E493*IF(F493="",1,F493))</f>
        <v/>
      </c>
      <c r="H493">
        <f>IF(A493="","",YEAR(A493))</f>
        <v/>
      </c>
      <c r="I493">
        <f>IF(A493="","",IF(MONTH(A493)&lt;=3,1,IF(MONTH(A493)&lt;=5,2,IF(MONTH(A493)&lt;=8,3,4))))</f>
        <v/>
      </c>
      <c r="J493">
        <f>IF(A493="","",MONTH(A493))</f>
        <v/>
      </c>
    </row>
    <row r="494">
      <c r="A494" s="15" t="n"/>
      <c r="B494" s="16" t="n"/>
      <c r="C494" s="16" t="n"/>
      <c r="D494" s="16" t="n"/>
      <c r="E494" s="18" t="n"/>
      <c r="F494" s="19" t="n"/>
      <c r="G494" s="6">
        <f>IF(OR(A494="",E494=""),"",E494*IF(F494="",1,F494))</f>
        <v/>
      </c>
      <c r="H494">
        <f>IF(A494="","",YEAR(A494))</f>
        <v/>
      </c>
      <c r="I494">
        <f>IF(A494="","",IF(MONTH(A494)&lt;=3,1,IF(MONTH(A494)&lt;=5,2,IF(MONTH(A494)&lt;=8,3,4))))</f>
        <v/>
      </c>
      <c r="J494">
        <f>IF(A494="","",MONTH(A494))</f>
        <v/>
      </c>
    </row>
    <row r="495">
      <c r="A495" s="15" t="n"/>
      <c r="B495" s="16" t="n"/>
      <c r="C495" s="16" t="n"/>
      <c r="D495" s="16" t="n"/>
      <c r="E495" s="18" t="n"/>
      <c r="F495" s="19" t="n"/>
      <c r="G495" s="6">
        <f>IF(OR(A495="",E495=""),"",E495*IF(F495="",1,F495))</f>
        <v/>
      </c>
      <c r="H495">
        <f>IF(A495="","",YEAR(A495))</f>
        <v/>
      </c>
      <c r="I495">
        <f>IF(A495="","",IF(MONTH(A495)&lt;=3,1,IF(MONTH(A495)&lt;=5,2,IF(MONTH(A495)&lt;=8,3,4))))</f>
        <v/>
      </c>
      <c r="J495">
        <f>IF(A495="","",MONTH(A495))</f>
        <v/>
      </c>
    </row>
    <row r="496">
      <c r="A496" s="15" t="n"/>
      <c r="B496" s="16" t="n"/>
      <c r="C496" s="16" t="n"/>
      <c r="D496" s="16" t="n"/>
      <c r="E496" s="18" t="n"/>
      <c r="F496" s="19" t="n"/>
      <c r="G496" s="6">
        <f>IF(OR(A496="",E496=""),"",E496*IF(F496="",1,F496))</f>
        <v/>
      </c>
      <c r="H496">
        <f>IF(A496="","",YEAR(A496))</f>
        <v/>
      </c>
      <c r="I496">
        <f>IF(A496="","",IF(MONTH(A496)&lt;=3,1,IF(MONTH(A496)&lt;=5,2,IF(MONTH(A496)&lt;=8,3,4))))</f>
        <v/>
      </c>
      <c r="J496">
        <f>IF(A496="","",MONTH(A496))</f>
        <v/>
      </c>
    </row>
    <row r="497">
      <c r="A497" s="15" t="n"/>
      <c r="B497" s="16" t="n"/>
      <c r="C497" s="16" t="n"/>
      <c r="D497" s="16" t="n"/>
      <c r="E497" s="18" t="n"/>
      <c r="F497" s="19" t="n"/>
      <c r="G497" s="6">
        <f>IF(OR(A497="",E497=""),"",E497*IF(F497="",1,F497))</f>
        <v/>
      </c>
      <c r="H497">
        <f>IF(A497="","",YEAR(A497))</f>
        <v/>
      </c>
      <c r="I497">
        <f>IF(A497="","",IF(MONTH(A497)&lt;=3,1,IF(MONTH(A497)&lt;=5,2,IF(MONTH(A497)&lt;=8,3,4))))</f>
        <v/>
      </c>
      <c r="J497">
        <f>IF(A497="","",MONTH(A497))</f>
        <v/>
      </c>
    </row>
    <row r="498">
      <c r="A498" s="15" t="n"/>
      <c r="B498" s="16" t="n"/>
      <c r="C498" s="16" t="n"/>
      <c r="D498" s="16" t="n"/>
      <c r="E498" s="18" t="n"/>
      <c r="F498" s="19" t="n"/>
      <c r="G498" s="6">
        <f>IF(OR(A498="",E498=""),"",E498*IF(F498="",1,F498))</f>
        <v/>
      </c>
      <c r="H498">
        <f>IF(A498="","",YEAR(A498))</f>
        <v/>
      </c>
      <c r="I498">
        <f>IF(A498="","",IF(MONTH(A498)&lt;=3,1,IF(MONTH(A498)&lt;=5,2,IF(MONTH(A498)&lt;=8,3,4))))</f>
        <v/>
      </c>
      <c r="J498">
        <f>IF(A498="","",MONTH(A498))</f>
        <v/>
      </c>
    </row>
    <row r="499">
      <c r="A499" s="15" t="n"/>
      <c r="B499" s="16" t="n"/>
      <c r="C499" s="16" t="n"/>
      <c r="D499" s="16" t="n"/>
      <c r="E499" s="18" t="n"/>
      <c r="F499" s="19" t="n"/>
      <c r="G499" s="6">
        <f>IF(OR(A499="",E499=""),"",E499*IF(F499="",1,F499))</f>
        <v/>
      </c>
      <c r="H499">
        <f>IF(A499="","",YEAR(A499))</f>
        <v/>
      </c>
      <c r="I499">
        <f>IF(A499="","",IF(MONTH(A499)&lt;=3,1,IF(MONTH(A499)&lt;=5,2,IF(MONTH(A499)&lt;=8,3,4))))</f>
        <v/>
      </c>
      <c r="J499">
        <f>IF(A499="","",MONTH(A499))</f>
        <v/>
      </c>
    </row>
    <row r="500">
      <c r="A500" s="15" t="n"/>
      <c r="B500" s="16" t="n"/>
      <c r="C500" s="16" t="n"/>
      <c r="D500" s="16" t="n"/>
      <c r="E500" s="18" t="n"/>
      <c r="F500" s="19" t="n"/>
      <c r="G500" s="6">
        <f>IF(OR(A500="",E500=""),"",E500*IF(F500="",1,F500))</f>
        <v/>
      </c>
      <c r="H500">
        <f>IF(A500="","",YEAR(A500))</f>
        <v/>
      </c>
      <c r="I500">
        <f>IF(A500="","",IF(MONTH(A500)&lt;=3,1,IF(MONTH(A500)&lt;=5,2,IF(MONTH(A500)&lt;=8,3,4))))</f>
        <v/>
      </c>
      <c r="J500">
        <f>IF(A500="","",MONTH(A500))</f>
        <v/>
      </c>
    </row>
    <row r="501">
      <c r="A501" s="15" t="n"/>
      <c r="B501" s="16" t="n"/>
      <c r="C501" s="16" t="n"/>
      <c r="D501" s="16" t="n"/>
      <c r="E501" s="18" t="n"/>
      <c r="F501" s="19" t="n"/>
      <c r="G501" s="6">
        <f>IF(OR(A501="",E501=""),"",E501*IF(F501="",1,F501))</f>
        <v/>
      </c>
      <c r="H501">
        <f>IF(A501="","",YEAR(A501))</f>
        <v/>
      </c>
      <c r="I501">
        <f>IF(A501="","",IF(MONTH(A501)&lt;=3,1,IF(MONTH(A501)&lt;=5,2,IF(MONTH(A501)&lt;=8,3,4))))</f>
        <v/>
      </c>
      <c r="J501">
        <f>IF(A501="","",MONTH(A501))</f>
        <v/>
      </c>
    </row>
    <row r="502">
      <c r="A502" s="15" t="n"/>
      <c r="B502" s="16" t="n"/>
      <c r="C502" s="16" t="n"/>
      <c r="D502" s="16" t="n"/>
      <c r="E502" s="18" t="n"/>
      <c r="F502" s="19" t="n"/>
      <c r="G502" s="6">
        <f>IF(OR(A502="",E502=""),"",E502*IF(F502="",1,F502))</f>
        <v/>
      </c>
      <c r="H502">
        <f>IF(A502="","",YEAR(A502))</f>
        <v/>
      </c>
      <c r="I502">
        <f>IF(A502="","",IF(MONTH(A502)&lt;=3,1,IF(MONTH(A502)&lt;=5,2,IF(MONTH(A502)&lt;=8,3,4))))</f>
        <v/>
      </c>
      <c r="J502">
        <f>IF(A502="","",MONTH(A502))</f>
        <v/>
      </c>
    </row>
    <row r="503">
      <c r="A503" s="15" t="n"/>
      <c r="B503" s="16" t="n"/>
      <c r="C503" s="16" t="n"/>
      <c r="D503" s="16" t="n"/>
      <c r="E503" s="18" t="n"/>
      <c r="F503" s="19" t="n"/>
      <c r="G503" s="6">
        <f>IF(OR(A503="",E503=""),"",E503*IF(F503="",1,F503))</f>
        <v/>
      </c>
      <c r="H503">
        <f>IF(A503="","",YEAR(A503))</f>
        <v/>
      </c>
      <c r="I503">
        <f>IF(A503="","",IF(MONTH(A503)&lt;=3,1,IF(MONTH(A503)&lt;=5,2,IF(MONTH(A503)&lt;=8,3,4))))</f>
        <v/>
      </c>
      <c r="J503">
        <f>IF(A503="","",MONTH(A503))</f>
        <v/>
      </c>
    </row>
    <row r="504">
      <c r="A504" s="15" t="n"/>
      <c r="B504" s="16" t="n"/>
      <c r="C504" s="16" t="n"/>
      <c r="D504" s="16" t="n"/>
      <c r="E504" s="18" t="n"/>
      <c r="F504" s="19" t="n"/>
      <c r="G504" s="6">
        <f>IF(OR(A504="",E504=""),"",E504*IF(F504="",1,F504))</f>
        <v/>
      </c>
      <c r="H504">
        <f>IF(A504="","",YEAR(A504))</f>
        <v/>
      </c>
      <c r="I504">
        <f>IF(A504="","",IF(MONTH(A504)&lt;=3,1,IF(MONTH(A504)&lt;=5,2,IF(MONTH(A504)&lt;=8,3,4))))</f>
        <v/>
      </c>
      <c r="J504">
        <f>IF(A504="","",MONTH(A504))</f>
        <v/>
      </c>
    </row>
  </sheetData>
  <dataValidations count="1">
    <dataValidation sqref="C5:C504" showDropDown="0" showInputMessage="0" showErrorMessage="0" allowBlank="1" type="list">
      <formula1>=Settings!$A$18:$A$31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Invoice tracker</t>
        </is>
      </c>
    </row>
    <row r="2">
      <c r="A2" s="2" t="inlineStr">
        <is>
          <t>Enter the invoice details. Paid amount fills itself from the Income log (matched by Invoice #).</t>
        </is>
      </c>
    </row>
    <row r="4" ht="30" customHeight="1">
      <c r="A4" s="17" t="inlineStr">
        <is>
          <t>Invoice #</t>
        </is>
      </c>
      <c r="B4" s="17" t="inlineStr">
        <is>
          <t>Client</t>
        </is>
      </c>
      <c r="C4" s="17" t="inlineStr">
        <is>
          <t>Issue date</t>
        </is>
      </c>
      <c r="D4" s="17" t="inlineStr">
        <is>
          <t>Terms (days)</t>
        </is>
      </c>
      <c r="E4" s="17" t="inlineStr">
        <is>
          <t>Due date</t>
        </is>
      </c>
      <c r="F4" s="17" t="inlineStr">
        <is>
          <t>Amount</t>
        </is>
      </c>
      <c r="G4" s="17" t="inlineStr">
        <is>
          <t>Paid to date</t>
        </is>
      </c>
      <c r="H4" s="17" t="inlineStr">
        <is>
          <t>Balance</t>
        </is>
      </c>
      <c r="I4" s="17" t="inlineStr">
        <is>
          <t>Status</t>
        </is>
      </c>
      <c r="J4" s="17" t="inlineStr">
        <is>
          <t>Days overdue</t>
        </is>
      </c>
    </row>
    <row r="5">
      <c r="A5" s="16" t="n"/>
      <c r="B5" s="16" t="n"/>
      <c r="C5" s="15" t="n"/>
      <c r="D5" s="16" t="n"/>
      <c r="E5" s="20">
        <f>IF(OR(C5="",D5=""),"",C5+D5)</f>
        <v/>
      </c>
      <c r="F5" s="18" t="n"/>
      <c r="G5" s="6">
        <f>IF(A5="","",SUMIFS(Income!$E$5:$E$504,Income!$C$5:$C$504,A5))</f>
        <v/>
      </c>
      <c r="H5" s="6">
        <f>IF(OR(A5="",F5=""),"",F5-G5)</f>
        <v/>
      </c>
      <c r="I5">
        <f>IF(OR(A5="",F5=""),"",IF(H5&lt;=0.004,"Paid",IF(AND(E5&lt;&gt;"",TODAY()&gt;E5),"Overdue",IF(G5&gt;0,"Partial","Open"))))</f>
        <v/>
      </c>
      <c r="J5">
        <f>IF(I5="Overdue",TODAY()-E5,"")</f>
        <v/>
      </c>
    </row>
    <row r="6">
      <c r="A6" s="16" t="n"/>
      <c r="B6" s="16" t="n"/>
      <c r="C6" s="15" t="n"/>
      <c r="D6" s="16" t="n"/>
      <c r="E6" s="20">
        <f>IF(OR(C6="",D6=""),"",C6+D6)</f>
        <v/>
      </c>
      <c r="F6" s="18" t="n"/>
      <c r="G6" s="6">
        <f>IF(A6="","",SUMIFS(Income!$E$5:$E$504,Income!$C$5:$C$504,A6))</f>
        <v/>
      </c>
      <c r="H6" s="6">
        <f>IF(OR(A6="",F6=""),"",F6-G6)</f>
        <v/>
      </c>
      <c r="I6">
        <f>IF(OR(A6="",F6=""),"",IF(H6&lt;=0.004,"Paid",IF(AND(E6&lt;&gt;"",TODAY()&gt;E6),"Overdue",IF(G6&gt;0,"Partial","Open"))))</f>
        <v/>
      </c>
      <c r="J6">
        <f>IF(I6="Overdue",TODAY()-E6,"")</f>
        <v/>
      </c>
    </row>
    <row r="7">
      <c r="A7" s="16" t="n"/>
      <c r="B7" s="16" t="n"/>
      <c r="C7" s="15" t="n"/>
      <c r="D7" s="16" t="n"/>
      <c r="E7" s="20">
        <f>IF(OR(C7="",D7=""),"",C7+D7)</f>
        <v/>
      </c>
      <c r="F7" s="18" t="n"/>
      <c r="G7" s="6">
        <f>IF(A7="","",SUMIFS(Income!$E$5:$E$504,Income!$C$5:$C$504,A7))</f>
        <v/>
      </c>
      <c r="H7" s="6">
        <f>IF(OR(A7="",F7=""),"",F7-G7)</f>
        <v/>
      </c>
      <c r="I7">
        <f>IF(OR(A7="",F7=""),"",IF(H7&lt;=0.004,"Paid",IF(AND(E7&lt;&gt;"",TODAY()&gt;E7),"Overdue",IF(G7&gt;0,"Partial","Open"))))</f>
        <v/>
      </c>
      <c r="J7">
        <f>IF(I7="Overdue",TODAY()-E7,"")</f>
        <v/>
      </c>
    </row>
    <row r="8">
      <c r="A8" s="16" t="n"/>
      <c r="B8" s="16" t="n"/>
      <c r="C8" s="15" t="n"/>
      <c r="D8" s="16" t="n"/>
      <c r="E8" s="20">
        <f>IF(OR(C8="",D8=""),"",C8+D8)</f>
        <v/>
      </c>
      <c r="F8" s="18" t="n"/>
      <c r="G8" s="6">
        <f>IF(A8="","",SUMIFS(Income!$E$5:$E$504,Income!$C$5:$C$504,A8))</f>
        <v/>
      </c>
      <c r="H8" s="6">
        <f>IF(OR(A8="",F8=""),"",F8-G8)</f>
        <v/>
      </c>
      <c r="I8">
        <f>IF(OR(A8="",F8=""),"",IF(H8&lt;=0.004,"Paid",IF(AND(E8&lt;&gt;"",TODAY()&gt;E8),"Overdue",IF(G8&gt;0,"Partial","Open"))))</f>
        <v/>
      </c>
      <c r="J8">
        <f>IF(I8="Overdue",TODAY()-E8,"")</f>
        <v/>
      </c>
    </row>
    <row r="9">
      <c r="A9" s="16" t="n"/>
      <c r="B9" s="16" t="n"/>
      <c r="C9" s="15" t="n"/>
      <c r="D9" s="16" t="n"/>
      <c r="E9" s="20">
        <f>IF(OR(C9="",D9=""),"",C9+D9)</f>
        <v/>
      </c>
      <c r="F9" s="18" t="n"/>
      <c r="G9" s="6">
        <f>IF(A9="","",SUMIFS(Income!$E$5:$E$504,Income!$C$5:$C$504,A9))</f>
        <v/>
      </c>
      <c r="H9" s="6">
        <f>IF(OR(A9="",F9=""),"",F9-G9)</f>
        <v/>
      </c>
      <c r="I9">
        <f>IF(OR(A9="",F9=""),"",IF(H9&lt;=0.004,"Paid",IF(AND(E9&lt;&gt;"",TODAY()&gt;E9),"Overdue",IF(G9&gt;0,"Partial","Open"))))</f>
        <v/>
      </c>
      <c r="J9">
        <f>IF(I9="Overdue",TODAY()-E9,"")</f>
        <v/>
      </c>
    </row>
    <row r="10">
      <c r="A10" s="16" t="n"/>
      <c r="B10" s="16" t="n"/>
      <c r="C10" s="15" t="n"/>
      <c r="D10" s="16" t="n"/>
      <c r="E10" s="20">
        <f>IF(OR(C10="",D10=""),"",C10+D10)</f>
        <v/>
      </c>
      <c r="F10" s="18" t="n"/>
      <c r="G10" s="6">
        <f>IF(A10="","",SUMIFS(Income!$E$5:$E$504,Income!$C$5:$C$504,A10))</f>
        <v/>
      </c>
      <c r="H10" s="6">
        <f>IF(OR(A10="",F10=""),"",F10-G10)</f>
        <v/>
      </c>
      <c r="I10">
        <f>IF(OR(A10="",F10=""),"",IF(H10&lt;=0.004,"Paid",IF(AND(E10&lt;&gt;"",TODAY()&gt;E10),"Overdue",IF(G10&gt;0,"Partial","Open"))))</f>
        <v/>
      </c>
      <c r="J10">
        <f>IF(I10="Overdue",TODAY()-E10,"")</f>
        <v/>
      </c>
    </row>
    <row r="11">
      <c r="A11" s="16" t="n"/>
      <c r="B11" s="16" t="n"/>
      <c r="C11" s="15" t="n"/>
      <c r="D11" s="16" t="n"/>
      <c r="E11" s="20">
        <f>IF(OR(C11="",D11=""),"",C11+D11)</f>
        <v/>
      </c>
      <c r="F11" s="18" t="n"/>
      <c r="G11" s="6">
        <f>IF(A11="","",SUMIFS(Income!$E$5:$E$504,Income!$C$5:$C$504,A11))</f>
        <v/>
      </c>
      <c r="H11" s="6">
        <f>IF(OR(A11="",F11=""),"",F11-G11)</f>
        <v/>
      </c>
      <c r="I11">
        <f>IF(OR(A11="",F11=""),"",IF(H11&lt;=0.004,"Paid",IF(AND(E11&lt;&gt;"",TODAY()&gt;E11),"Overdue",IF(G11&gt;0,"Partial","Open"))))</f>
        <v/>
      </c>
      <c r="J11">
        <f>IF(I11="Overdue",TODAY()-E11,"")</f>
        <v/>
      </c>
    </row>
    <row r="12">
      <c r="A12" s="16" t="n"/>
      <c r="B12" s="16" t="n"/>
      <c r="C12" s="15" t="n"/>
      <c r="D12" s="16" t="n"/>
      <c r="E12" s="20">
        <f>IF(OR(C12="",D12=""),"",C12+D12)</f>
        <v/>
      </c>
      <c r="F12" s="18" t="n"/>
      <c r="G12" s="6">
        <f>IF(A12="","",SUMIFS(Income!$E$5:$E$504,Income!$C$5:$C$504,A12))</f>
        <v/>
      </c>
      <c r="H12" s="6">
        <f>IF(OR(A12="",F12=""),"",F12-G12)</f>
        <v/>
      </c>
      <c r="I12">
        <f>IF(OR(A12="",F12=""),"",IF(H12&lt;=0.004,"Paid",IF(AND(E12&lt;&gt;"",TODAY()&gt;E12),"Overdue",IF(G12&gt;0,"Partial","Open"))))</f>
        <v/>
      </c>
      <c r="J12">
        <f>IF(I12="Overdue",TODAY()-E12,"")</f>
        <v/>
      </c>
    </row>
    <row r="13">
      <c r="A13" s="16" t="n"/>
      <c r="B13" s="16" t="n"/>
      <c r="C13" s="15" t="n"/>
      <c r="D13" s="16" t="n"/>
      <c r="E13" s="20">
        <f>IF(OR(C13="",D13=""),"",C13+D13)</f>
        <v/>
      </c>
      <c r="F13" s="18" t="n"/>
      <c r="G13" s="6">
        <f>IF(A13="","",SUMIFS(Income!$E$5:$E$504,Income!$C$5:$C$504,A13))</f>
        <v/>
      </c>
      <c r="H13" s="6">
        <f>IF(OR(A13="",F13=""),"",F13-G13)</f>
        <v/>
      </c>
      <c r="I13">
        <f>IF(OR(A13="",F13=""),"",IF(H13&lt;=0.004,"Paid",IF(AND(E13&lt;&gt;"",TODAY()&gt;E13),"Overdue",IF(G13&gt;0,"Partial","Open"))))</f>
        <v/>
      </c>
      <c r="J13">
        <f>IF(I13="Overdue",TODAY()-E13,"")</f>
        <v/>
      </c>
    </row>
    <row r="14">
      <c r="A14" s="16" t="n"/>
      <c r="B14" s="16" t="n"/>
      <c r="C14" s="15" t="n"/>
      <c r="D14" s="16" t="n"/>
      <c r="E14" s="20">
        <f>IF(OR(C14="",D14=""),"",C14+D14)</f>
        <v/>
      </c>
      <c r="F14" s="18" t="n"/>
      <c r="G14" s="6">
        <f>IF(A14="","",SUMIFS(Income!$E$5:$E$504,Income!$C$5:$C$504,A14))</f>
        <v/>
      </c>
      <c r="H14" s="6">
        <f>IF(OR(A14="",F14=""),"",F14-G14)</f>
        <v/>
      </c>
      <c r="I14">
        <f>IF(OR(A14="",F14=""),"",IF(H14&lt;=0.004,"Paid",IF(AND(E14&lt;&gt;"",TODAY()&gt;E14),"Overdue",IF(G14&gt;0,"Partial","Open"))))</f>
        <v/>
      </c>
      <c r="J14">
        <f>IF(I14="Overdue",TODAY()-E14,"")</f>
        <v/>
      </c>
    </row>
    <row r="15">
      <c r="A15" s="16" t="n"/>
      <c r="B15" s="16" t="n"/>
      <c r="C15" s="15" t="n"/>
      <c r="D15" s="16" t="n"/>
      <c r="E15" s="20">
        <f>IF(OR(C15="",D15=""),"",C15+D15)</f>
        <v/>
      </c>
      <c r="F15" s="18" t="n"/>
      <c r="G15" s="6">
        <f>IF(A15="","",SUMIFS(Income!$E$5:$E$504,Income!$C$5:$C$504,A15))</f>
        <v/>
      </c>
      <c r="H15" s="6">
        <f>IF(OR(A15="",F15=""),"",F15-G15)</f>
        <v/>
      </c>
      <c r="I15">
        <f>IF(OR(A15="",F15=""),"",IF(H15&lt;=0.004,"Paid",IF(AND(E15&lt;&gt;"",TODAY()&gt;E15),"Overdue",IF(G15&gt;0,"Partial","Open"))))</f>
        <v/>
      </c>
      <c r="J15">
        <f>IF(I15="Overdue",TODAY()-E15,"")</f>
        <v/>
      </c>
    </row>
    <row r="16">
      <c r="A16" s="16" t="n"/>
      <c r="B16" s="16" t="n"/>
      <c r="C16" s="15" t="n"/>
      <c r="D16" s="16" t="n"/>
      <c r="E16" s="20">
        <f>IF(OR(C16="",D16=""),"",C16+D16)</f>
        <v/>
      </c>
      <c r="F16" s="18" t="n"/>
      <c r="G16" s="6">
        <f>IF(A16="","",SUMIFS(Income!$E$5:$E$504,Income!$C$5:$C$504,A16))</f>
        <v/>
      </c>
      <c r="H16" s="6">
        <f>IF(OR(A16="",F16=""),"",F16-G16)</f>
        <v/>
      </c>
      <c r="I16">
        <f>IF(OR(A16="",F16=""),"",IF(H16&lt;=0.004,"Paid",IF(AND(E16&lt;&gt;"",TODAY()&gt;E16),"Overdue",IF(G16&gt;0,"Partial","Open"))))</f>
        <v/>
      </c>
      <c r="J16">
        <f>IF(I16="Overdue",TODAY()-E16,"")</f>
        <v/>
      </c>
    </row>
    <row r="17">
      <c r="A17" s="16" t="n"/>
      <c r="B17" s="16" t="n"/>
      <c r="C17" s="15" t="n"/>
      <c r="D17" s="16" t="n"/>
      <c r="E17" s="20">
        <f>IF(OR(C17="",D17=""),"",C17+D17)</f>
        <v/>
      </c>
      <c r="F17" s="18" t="n"/>
      <c r="G17" s="6">
        <f>IF(A17="","",SUMIFS(Income!$E$5:$E$504,Income!$C$5:$C$504,A17))</f>
        <v/>
      </c>
      <c r="H17" s="6">
        <f>IF(OR(A17="",F17=""),"",F17-G17)</f>
        <v/>
      </c>
      <c r="I17">
        <f>IF(OR(A17="",F17=""),"",IF(H17&lt;=0.004,"Paid",IF(AND(E17&lt;&gt;"",TODAY()&gt;E17),"Overdue",IF(G17&gt;0,"Partial","Open"))))</f>
        <v/>
      </c>
      <c r="J17">
        <f>IF(I17="Overdue",TODAY()-E17,"")</f>
        <v/>
      </c>
    </row>
    <row r="18">
      <c r="A18" s="16" t="n"/>
      <c r="B18" s="16" t="n"/>
      <c r="C18" s="15" t="n"/>
      <c r="D18" s="16" t="n"/>
      <c r="E18" s="20">
        <f>IF(OR(C18="",D18=""),"",C18+D18)</f>
        <v/>
      </c>
      <c r="F18" s="18" t="n"/>
      <c r="G18" s="6">
        <f>IF(A18="","",SUMIFS(Income!$E$5:$E$504,Income!$C$5:$C$504,A18))</f>
        <v/>
      </c>
      <c r="H18" s="6">
        <f>IF(OR(A18="",F18=""),"",F18-G18)</f>
        <v/>
      </c>
      <c r="I18">
        <f>IF(OR(A18="",F18=""),"",IF(H18&lt;=0.004,"Paid",IF(AND(E18&lt;&gt;"",TODAY()&gt;E18),"Overdue",IF(G18&gt;0,"Partial","Open"))))</f>
        <v/>
      </c>
      <c r="J18">
        <f>IF(I18="Overdue",TODAY()-E18,"")</f>
        <v/>
      </c>
    </row>
    <row r="19">
      <c r="A19" s="16" t="n"/>
      <c r="B19" s="16" t="n"/>
      <c r="C19" s="15" t="n"/>
      <c r="D19" s="16" t="n"/>
      <c r="E19" s="20">
        <f>IF(OR(C19="",D19=""),"",C19+D19)</f>
        <v/>
      </c>
      <c r="F19" s="18" t="n"/>
      <c r="G19" s="6">
        <f>IF(A19="","",SUMIFS(Income!$E$5:$E$504,Income!$C$5:$C$504,A19))</f>
        <v/>
      </c>
      <c r="H19" s="6">
        <f>IF(OR(A19="",F19=""),"",F19-G19)</f>
        <v/>
      </c>
      <c r="I19">
        <f>IF(OR(A19="",F19=""),"",IF(H19&lt;=0.004,"Paid",IF(AND(E19&lt;&gt;"",TODAY()&gt;E19),"Overdue",IF(G19&gt;0,"Partial","Open"))))</f>
        <v/>
      </c>
      <c r="J19">
        <f>IF(I19="Overdue",TODAY()-E19,"")</f>
        <v/>
      </c>
    </row>
    <row r="20">
      <c r="A20" s="16" t="n"/>
      <c r="B20" s="16" t="n"/>
      <c r="C20" s="15" t="n"/>
      <c r="D20" s="16" t="n"/>
      <c r="E20" s="20">
        <f>IF(OR(C20="",D20=""),"",C20+D20)</f>
        <v/>
      </c>
      <c r="F20" s="18" t="n"/>
      <c r="G20" s="6">
        <f>IF(A20="","",SUMIFS(Income!$E$5:$E$504,Income!$C$5:$C$504,A20))</f>
        <v/>
      </c>
      <c r="H20" s="6">
        <f>IF(OR(A20="",F20=""),"",F20-G20)</f>
        <v/>
      </c>
      <c r="I20">
        <f>IF(OR(A20="",F20=""),"",IF(H20&lt;=0.004,"Paid",IF(AND(E20&lt;&gt;"",TODAY()&gt;E20),"Overdue",IF(G20&gt;0,"Partial","Open"))))</f>
        <v/>
      </c>
      <c r="J20">
        <f>IF(I20="Overdue",TODAY()-E20,"")</f>
        <v/>
      </c>
    </row>
    <row r="21">
      <c r="A21" s="16" t="n"/>
      <c r="B21" s="16" t="n"/>
      <c r="C21" s="15" t="n"/>
      <c r="D21" s="16" t="n"/>
      <c r="E21" s="20">
        <f>IF(OR(C21="",D21=""),"",C21+D21)</f>
        <v/>
      </c>
      <c r="F21" s="18" t="n"/>
      <c r="G21" s="6">
        <f>IF(A21="","",SUMIFS(Income!$E$5:$E$504,Income!$C$5:$C$504,A21))</f>
        <v/>
      </c>
      <c r="H21" s="6">
        <f>IF(OR(A21="",F21=""),"",F21-G21)</f>
        <v/>
      </c>
      <c r="I21">
        <f>IF(OR(A21="",F21=""),"",IF(H21&lt;=0.004,"Paid",IF(AND(E21&lt;&gt;"",TODAY()&gt;E21),"Overdue",IF(G21&gt;0,"Partial","Open"))))</f>
        <v/>
      </c>
      <c r="J21">
        <f>IF(I21="Overdue",TODAY()-E21,"")</f>
        <v/>
      </c>
    </row>
    <row r="22">
      <c r="A22" s="16" t="n"/>
      <c r="B22" s="16" t="n"/>
      <c r="C22" s="15" t="n"/>
      <c r="D22" s="16" t="n"/>
      <c r="E22" s="20">
        <f>IF(OR(C22="",D22=""),"",C22+D22)</f>
        <v/>
      </c>
      <c r="F22" s="18" t="n"/>
      <c r="G22" s="6">
        <f>IF(A22="","",SUMIFS(Income!$E$5:$E$504,Income!$C$5:$C$504,A22))</f>
        <v/>
      </c>
      <c r="H22" s="6">
        <f>IF(OR(A22="",F22=""),"",F22-G22)</f>
        <v/>
      </c>
      <c r="I22">
        <f>IF(OR(A22="",F22=""),"",IF(H22&lt;=0.004,"Paid",IF(AND(E22&lt;&gt;"",TODAY()&gt;E22),"Overdue",IF(G22&gt;0,"Partial","Open"))))</f>
        <v/>
      </c>
      <c r="J22">
        <f>IF(I22="Overdue",TODAY()-E22,"")</f>
        <v/>
      </c>
    </row>
    <row r="23">
      <c r="A23" s="16" t="n"/>
      <c r="B23" s="16" t="n"/>
      <c r="C23" s="15" t="n"/>
      <c r="D23" s="16" t="n"/>
      <c r="E23" s="20">
        <f>IF(OR(C23="",D23=""),"",C23+D23)</f>
        <v/>
      </c>
      <c r="F23" s="18" t="n"/>
      <c r="G23" s="6">
        <f>IF(A23="","",SUMIFS(Income!$E$5:$E$504,Income!$C$5:$C$504,A23))</f>
        <v/>
      </c>
      <c r="H23" s="6">
        <f>IF(OR(A23="",F23=""),"",F23-G23)</f>
        <v/>
      </c>
      <c r="I23">
        <f>IF(OR(A23="",F23=""),"",IF(H23&lt;=0.004,"Paid",IF(AND(E23&lt;&gt;"",TODAY()&gt;E23),"Overdue",IF(G23&gt;0,"Partial","Open"))))</f>
        <v/>
      </c>
      <c r="J23">
        <f>IF(I23="Overdue",TODAY()-E23,"")</f>
        <v/>
      </c>
    </row>
    <row r="24">
      <c r="A24" s="16" t="n"/>
      <c r="B24" s="16" t="n"/>
      <c r="C24" s="15" t="n"/>
      <c r="D24" s="16" t="n"/>
      <c r="E24" s="20">
        <f>IF(OR(C24="",D24=""),"",C24+D24)</f>
        <v/>
      </c>
      <c r="F24" s="18" t="n"/>
      <c r="G24" s="6">
        <f>IF(A24="","",SUMIFS(Income!$E$5:$E$504,Income!$C$5:$C$504,A24))</f>
        <v/>
      </c>
      <c r="H24" s="6">
        <f>IF(OR(A24="",F24=""),"",F24-G24)</f>
        <v/>
      </c>
      <c r="I24">
        <f>IF(OR(A24="",F24=""),"",IF(H24&lt;=0.004,"Paid",IF(AND(E24&lt;&gt;"",TODAY()&gt;E24),"Overdue",IF(G24&gt;0,"Partial","Open"))))</f>
        <v/>
      </c>
      <c r="J24">
        <f>IF(I24="Overdue",TODAY()-E24,"")</f>
        <v/>
      </c>
    </row>
    <row r="25">
      <c r="A25" s="16" t="n"/>
      <c r="B25" s="16" t="n"/>
      <c r="C25" s="15" t="n"/>
      <c r="D25" s="16" t="n"/>
      <c r="E25" s="20">
        <f>IF(OR(C25="",D25=""),"",C25+D25)</f>
        <v/>
      </c>
      <c r="F25" s="18" t="n"/>
      <c r="G25" s="6">
        <f>IF(A25="","",SUMIFS(Income!$E$5:$E$504,Income!$C$5:$C$504,A25))</f>
        <v/>
      </c>
      <c r="H25" s="6">
        <f>IF(OR(A25="",F25=""),"",F25-G25)</f>
        <v/>
      </c>
      <c r="I25">
        <f>IF(OR(A25="",F25=""),"",IF(H25&lt;=0.004,"Paid",IF(AND(E25&lt;&gt;"",TODAY()&gt;E25),"Overdue",IF(G25&gt;0,"Partial","Open"))))</f>
        <v/>
      </c>
      <c r="J25">
        <f>IF(I25="Overdue",TODAY()-E25,"")</f>
        <v/>
      </c>
    </row>
    <row r="26">
      <c r="A26" s="16" t="n"/>
      <c r="B26" s="16" t="n"/>
      <c r="C26" s="15" t="n"/>
      <c r="D26" s="16" t="n"/>
      <c r="E26" s="20">
        <f>IF(OR(C26="",D26=""),"",C26+D26)</f>
        <v/>
      </c>
      <c r="F26" s="18" t="n"/>
      <c r="G26" s="6">
        <f>IF(A26="","",SUMIFS(Income!$E$5:$E$504,Income!$C$5:$C$504,A26))</f>
        <v/>
      </c>
      <c r="H26" s="6">
        <f>IF(OR(A26="",F26=""),"",F26-G26)</f>
        <v/>
      </c>
      <c r="I26">
        <f>IF(OR(A26="",F26=""),"",IF(H26&lt;=0.004,"Paid",IF(AND(E26&lt;&gt;"",TODAY()&gt;E26),"Overdue",IF(G26&gt;0,"Partial","Open"))))</f>
        <v/>
      </c>
      <c r="J26">
        <f>IF(I26="Overdue",TODAY()-E26,"")</f>
        <v/>
      </c>
    </row>
    <row r="27">
      <c r="A27" s="16" t="n"/>
      <c r="B27" s="16" t="n"/>
      <c r="C27" s="15" t="n"/>
      <c r="D27" s="16" t="n"/>
      <c r="E27" s="20">
        <f>IF(OR(C27="",D27=""),"",C27+D27)</f>
        <v/>
      </c>
      <c r="F27" s="18" t="n"/>
      <c r="G27" s="6">
        <f>IF(A27="","",SUMIFS(Income!$E$5:$E$504,Income!$C$5:$C$504,A27))</f>
        <v/>
      </c>
      <c r="H27" s="6">
        <f>IF(OR(A27="",F27=""),"",F27-G27)</f>
        <v/>
      </c>
      <c r="I27">
        <f>IF(OR(A27="",F27=""),"",IF(H27&lt;=0.004,"Paid",IF(AND(E27&lt;&gt;"",TODAY()&gt;E27),"Overdue",IF(G27&gt;0,"Partial","Open"))))</f>
        <v/>
      </c>
      <c r="J27">
        <f>IF(I27="Overdue",TODAY()-E27,"")</f>
        <v/>
      </c>
    </row>
    <row r="28">
      <c r="A28" s="16" t="n"/>
      <c r="B28" s="16" t="n"/>
      <c r="C28" s="15" t="n"/>
      <c r="D28" s="16" t="n"/>
      <c r="E28" s="20">
        <f>IF(OR(C28="",D28=""),"",C28+D28)</f>
        <v/>
      </c>
      <c r="F28" s="18" t="n"/>
      <c r="G28" s="6">
        <f>IF(A28="","",SUMIFS(Income!$E$5:$E$504,Income!$C$5:$C$504,A28))</f>
        <v/>
      </c>
      <c r="H28" s="6">
        <f>IF(OR(A28="",F28=""),"",F28-G28)</f>
        <v/>
      </c>
      <c r="I28">
        <f>IF(OR(A28="",F28=""),"",IF(H28&lt;=0.004,"Paid",IF(AND(E28&lt;&gt;"",TODAY()&gt;E28),"Overdue",IF(G28&gt;0,"Partial","Open"))))</f>
        <v/>
      </c>
      <c r="J28">
        <f>IF(I28="Overdue",TODAY()-E28,"")</f>
        <v/>
      </c>
    </row>
    <row r="29">
      <c r="A29" s="16" t="n"/>
      <c r="B29" s="16" t="n"/>
      <c r="C29" s="15" t="n"/>
      <c r="D29" s="16" t="n"/>
      <c r="E29" s="20">
        <f>IF(OR(C29="",D29=""),"",C29+D29)</f>
        <v/>
      </c>
      <c r="F29" s="18" t="n"/>
      <c r="G29" s="6">
        <f>IF(A29="","",SUMIFS(Income!$E$5:$E$504,Income!$C$5:$C$504,A29))</f>
        <v/>
      </c>
      <c r="H29" s="6">
        <f>IF(OR(A29="",F29=""),"",F29-G29)</f>
        <v/>
      </c>
      <c r="I29">
        <f>IF(OR(A29="",F29=""),"",IF(H29&lt;=0.004,"Paid",IF(AND(E29&lt;&gt;"",TODAY()&gt;E29),"Overdue",IF(G29&gt;0,"Partial","Open"))))</f>
        <v/>
      </c>
      <c r="J29">
        <f>IF(I29="Overdue",TODAY()-E29,"")</f>
        <v/>
      </c>
    </row>
    <row r="30">
      <c r="A30" s="16" t="n"/>
      <c r="B30" s="16" t="n"/>
      <c r="C30" s="15" t="n"/>
      <c r="D30" s="16" t="n"/>
      <c r="E30" s="20">
        <f>IF(OR(C30="",D30=""),"",C30+D30)</f>
        <v/>
      </c>
      <c r="F30" s="18" t="n"/>
      <c r="G30" s="6">
        <f>IF(A30="","",SUMIFS(Income!$E$5:$E$504,Income!$C$5:$C$504,A30))</f>
        <v/>
      </c>
      <c r="H30" s="6">
        <f>IF(OR(A30="",F30=""),"",F30-G30)</f>
        <v/>
      </c>
      <c r="I30">
        <f>IF(OR(A30="",F30=""),"",IF(H30&lt;=0.004,"Paid",IF(AND(E30&lt;&gt;"",TODAY()&gt;E30),"Overdue",IF(G30&gt;0,"Partial","Open"))))</f>
        <v/>
      </c>
      <c r="J30">
        <f>IF(I30="Overdue",TODAY()-E30,"")</f>
        <v/>
      </c>
    </row>
    <row r="31">
      <c r="A31" s="16" t="n"/>
      <c r="B31" s="16" t="n"/>
      <c r="C31" s="15" t="n"/>
      <c r="D31" s="16" t="n"/>
      <c r="E31" s="20">
        <f>IF(OR(C31="",D31=""),"",C31+D31)</f>
        <v/>
      </c>
      <c r="F31" s="18" t="n"/>
      <c r="G31" s="6">
        <f>IF(A31="","",SUMIFS(Income!$E$5:$E$504,Income!$C$5:$C$504,A31))</f>
        <v/>
      </c>
      <c r="H31" s="6">
        <f>IF(OR(A31="",F31=""),"",F31-G31)</f>
        <v/>
      </c>
      <c r="I31">
        <f>IF(OR(A31="",F31=""),"",IF(H31&lt;=0.004,"Paid",IF(AND(E31&lt;&gt;"",TODAY()&gt;E31),"Overdue",IF(G31&gt;0,"Partial","Open"))))</f>
        <v/>
      </c>
      <c r="J31">
        <f>IF(I31="Overdue",TODAY()-E31,"")</f>
        <v/>
      </c>
    </row>
    <row r="32">
      <c r="A32" s="16" t="n"/>
      <c r="B32" s="16" t="n"/>
      <c r="C32" s="15" t="n"/>
      <c r="D32" s="16" t="n"/>
      <c r="E32" s="20">
        <f>IF(OR(C32="",D32=""),"",C32+D32)</f>
        <v/>
      </c>
      <c r="F32" s="18" t="n"/>
      <c r="G32" s="6">
        <f>IF(A32="","",SUMIFS(Income!$E$5:$E$504,Income!$C$5:$C$504,A32))</f>
        <v/>
      </c>
      <c r="H32" s="6">
        <f>IF(OR(A32="",F32=""),"",F32-G32)</f>
        <v/>
      </c>
      <c r="I32">
        <f>IF(OR(A32="",F32=""),"",IF(H32&lt;=0.004,"Paid",IF(AND(E32&lt;&gt;"",TODAY()&gt;E32),"Overdue",IF(G32&gt;0,"Partial","Open"))))</f>
        <v/>
      </c>
      <c r="J32">
        <f>IF(I32="Overdue",TODAY()-E32,"")</f>
        <v/>
      </c>
    </row>
    <row r="33">
      <c r="A33" s="16" t="n"/>
      <c r="B33" s="16" t="n"/>
      <c r="C33" s="15" t="n"/>
      <c r="D33" s="16" t="n"/>
      <c r="E33" s="20">
        <f>IF(OR(C33="",D33=""),"",C33+D33)</f>
        <v/>
      </c>
      <c r="F33" s="18" t="n"/>
      <c r="G33" s="6">
        <f>IF(A33="","",SUMIFS(Income!$E$5:$E$504,Income!$C$5:$C$504,A33))</f>
        <v/>
      </c>
      <c r="H33" s="6">
        <f>IF(OR(A33="",F33=""),"",F33-G33)</f>
        <v/>
      </c>
      <c r="I33">
        <f>IF(OR(A33="",F33=""),"",IF(H33&lt;=0.004,"Paid",IF(AND(E33&lt;&gt;"",TODAY()&gt;E33),"Overdue",IF(G33&gt;0,"Partial","Open"))))</f>
        <v/>
      </c>
      <c r="J33">
        <f>IF(I33="Overdue",TODAY()-E33,"")</f>
        <v/>
      </c>
    </row>
    <row r="34">
      <c r="A34" s="16" t="n"/>
      <c r="B34" s="16" t="n"/>
      <c r="C34" s="15" t="n"/>
      <c r="D34" s="16" t="n"/>
      <c r="E34" s="20">
        <f>IF(OR(C34="",D34=""),"",C34+D34)</f>
        <v/>
      </c>
      <c r="F34" s="18" t="n"/>
      <c r="G34" s="6">
        <f>IF(A34="","",SUMIFS(Income!$E$5:$E$504,Income!$C$5:$C$504,A34))</f>
        <v/>
      </c>
      <c r="H34" s="6">
        <f>IF(OR(A34="",F34=""),"",F34-G34)</f>
        <v/>
      </c>
      <c r="I34">
        <f>IF(OR(A34="",F34=""),"",IF(H34&lt;=0.004,"Paid",IF(AND(E34&lt;&gt;"",TODAY()&gt;E34),"Overdue",IF(G34&gt;0,"Partial","Open"))))</f>
        <v/>
      </c>
      <c r="J34">
        <f>IF(I34="Overdue",TODAY()-E34,"")</f>
        <v/>
      </c>
    </row>
    <row r="35">
      <c r="A35" s="16" t="n"/>
      <c r="B35" s="16" t="n"/>
      <c r="C35" s="15" t="n"/>
      <c r="D35" s="16" t="n"/>
      <c r="E35" s="20">
        <f>IF(OR(C35="",D35=""),"",C35+D35)</f>
        <v/>
      </c>
      <c r="F35" s="18" t="n"/>
      <c r="G35" s="6">
        <f>IF(A35="","",SUMIFS(Income!$E$5:$E$504,Income!$C$5:$C$504,A35))</f>
        <v/>
      </c>
      <c r="H35" s="6">
        <f>IF(OR(A35="",F35=""),"",F35-G35)</f>
        <v/>
      </c>
      <c r="I35">
        <f>IF(OR(A35="",F35=""),"",IF(H35&lt;=0.004,"Paid",IF(AND(E35&lt;&gt;"",TODAY()&gt;E35),"Overdue",IF(G35&gt;0,"Partial","Open"))))</f>
        <v/>
      </c>
      <c r="J35">
        <f>IF(I35="Overdue",TODAY()-E35,"")</f>
        <v/>
      </c>
    </row>
    <row r="36">
      <c r="A36" s="16" t="n"/>
      <c r="B36" s="16" t="n"/>
      <c r="C36" s="15" t="n"/>
      <c r="D36" s="16" t="n"/>
      <c r="E36" s="20">
        <f>IF(OR(C36="",D36=""),"",C36+D36)</f>
        <v/>
      </c>
      <c r="F36" s="18" t="n"/>
      <c r="G36" s="6">
        <f>IF(A36="","",SUMIFS(Income!$E$5:$E$504,Income!$C$5:$C$504,A36))</f>
        <v/>
      </c>
      <c r="H36" s="6">
        <f>IF(OR(A36="",F36=""),"",F36-G36)</f>
        <v/>
      </c>
      <c r="I36">
        <f>IF(OR(A36="",F36=""),"",IF(H36&lt;=0.004,"Paid",IF(AND(E36&lt;&gt;"",TODAY()&gt;E36),"Overdue",IF(G36&gt;0,"Partial","Open"))))</f>
        <v/>
      </c>
      <c r="J36">
        <f>IF(I36="Overdue",TODAY()-E36,"")</f>
        <v/>
      </c>
    </row>
    <row r="37">
      <c r="A37" s="16" t="n"/>
      <c r="B37" s="16" t="n"/>
      <c r="C37" s="15" t="n"/>
      <c r="D37" s="16" t="n"/>
      <c r="E37" s="20">
        <f>IF(OR(C37="",D37=""),"",C37+D37)</f>
        <v/>
      </c>
      <c r="F37" s="18" t="n"/>
      <c r="G37" s="6">
        <f>IF(A37="","",SUMIFS(Income!$E$5:$E$504,Income!$C$5:$C$504,A37))</f>
        <v/>
      </c>
      <c r="H37" s="6">
        <f>IF(OR(A37="",F37=""),"",F37-G37)</f>
        <v/>
      </c>
      <c r="I37">
        <f>IF(OR(A37="",F37=""),"",IF(H37&lt;=0.004,"Paid",IF(AND(E37&lt;&gt;"",TODAY()&gt;E37),"Overdue",IF(G37&gt;0,"Partial","Open"))))</f>
        <v/>
      </c>
      <c r="J37">
        <f>IF(I37="Overdue",TODAY()-E37,"")</f>
        <v/>
      </c>
    </row>
    <row r="38">
      <c r="A38" s="16" t="n"/>
      <c r="B38" s="16" t="n"/>
      <c r="C38" s="15" t="n"/>
      <c r="D38" s="16" t="n"/>
      <c r="E38" s="20">
        <f>IF(OR(C38="",D38=""),"",C38+D38)</f>
        <v/>
      </c>
      <c r="F38" s="18" t="n"/>
      <c r="G38" s="6">
        <f>IF(A38="","",SUMIFS(Income!$E$5:$E$504,Income!$C$5:$C$504,A38))</f>
        <v/>
      </c>
      <c r="H38" s="6">
        <f>IF(OR(A38="",F38=""),"",F38-G38)</f>
        <v/>
      </c>
      <c r="I38">
        <f>IF(OR(A38="",F38=""),"",IF(H38&lt;=0.004,"Paid",IF(AND(E38&lt;&gt;"",TODAY()&gt;E38),"Overdue",IF(G38&gt;0,"Partial","Open"))))</f>
        <v/>
      </c>
      <c r="J38">
        <f>IF(I38="Overdue",TODAY()-E38,"")</f>
        <v/>
      </c>
    </row>
    <row r="39">
      <c r="A39" s="16" t="n"/>
      <c r="B39" s="16" t="n"/>
      <c r="C39" s="15" t="n"/>
      <c r="D39" s="16" t="n"/>
      <c r="E39" s="20">
        <f>IF(OR(C39="",D39=""),"",C39+D39)</f>
        <v/>
      </c>
      <c r="F39" s="18" t="n"/>
      <c r="G39" s="6">
        <f>IF(A39="","",SUMIFS(Income!$E$5:$E$504,Income!$C$5:$C$504,A39))</f>
        <v/>
      </c>
      <c r="H39" s="6">
        <f>IF(OR(A39="",F39=""),"",F39-G39)</f>
        <v/>
      </c>
      <c r="I39">
        <f>IF(OR(A39="",F39=""),"",IF(H39&lt;=0.004,"Paid",IF(AND(E39&lt;&gt;"",TODAY()&gt;E39),"Overdue",IF(G39&gt;0,"Partial","Open"))))</f>
        <v/>
      </c>
      <c r="J39">
        <f>IF(I39="Overdue",TODAY()-E39,"")</f>
        <v/>
      </c>
    </row>
    <row r="40">
      <c r="A40" s="16" t="n"/>
      <c r="B40" s="16" t="n"/>
      <c r="C40" s="15" t="n"/>
      <c r="D40" s="16" t="n"/>
      <c r="E40" s="20">
        <f>IF(OR(C40="",D40=""),"",C40+D40)</f>
        <v/>
      </c>
      <c r="F40" s="18" t="n"/>
      <c r="G40" s="6">
        <f>IF(A40="","",SUMIFS(Income!$E$5:$E$504,Income!$C$5:$C$504,A40))</f>
        <v/>
      </c>
      <c r="H40" s="6">
        <f>IF(OR(A40="",F40=""),"",F40-G40)</f>
        <v/>
      </c>
      <c r="I40">
        <f>IF(OR(A40="",F40=""),"",IF(H40&lt;=0.004,"Paid",IF(AND(E40&lt;&gt;"",TODAY()&gt;E40),"Overdue",IF(G40&gt;0,"Partial","Open"))))</f>
        <v/>
      </c>
      <c r="J40">
        <f>IF(I40="Overdue",TODAY()-E40,"")</f>
        <v/>
      </c>
    </row>
    <row r="41">
      <c r="A41" s="16" t="n"/>
      <c r="B41" s="16" t="n"/>
      <c r="C41" s="15" t="n"/>
      <c r="D41" s="16" t="n"/>
      <c r="E41" s="20">
        <f>IF(OR(C41="",D41=""),"",C41+D41)</f>
        <v/>
      </c>
      <c r="F41" s="18" t="n"/>
      <c r="G41" s="6">
        <f>IF(A41="","",SUMIFS(Income!$E$5:$E$504,Income!$C$5:$C$504,A41))</f>
        <v/>
      </c>
      <c r="H41" s="6">
        <f>IF(OR(A41="",F41=""),"",F41-G41)</f>
        <v/>
      </c>
      <c r="I41">
        <f>IF(OR(A41="",F41=""),"",IF(H41&lt;=0.004,"Paid",IF(AND(E41&lt;&gt;"",TODAY()&gt;E41),"Overdue",IF(G41&gt;0,"Partial","Open"))))</f>
        <v/>
      </c>
      <c r="J41">
        <f>IF(I41="Overdue",TODAY()-E41,"")</f>
        <v/>
      </c>
    </row>
    <row r="42">
      <c r="A42" s="16" t="n"/>
      <c r="B42" s="16" t="n"/>
      <c r="C42" s="15" t="n"/>
      <c r="D42" s="16" t="n"/>
      <c r="E42" s="20">
        <f>IF(OR(C42="",D42=""),"",C42+D42)</f>
        <v/>
      </c>
      <c r="F42" s="18" t="n"/>
      <c r="G42" s="6">
        <f>IF(A42="","",SUMIFS(Income!$E$5:$E$504,Income!$C$5:$C$504,A42))</f>
        <v/>
      </c>
      <c r="H42" s="6">
        <f>IF(OR(A42="",F42=""),"",F42-G42)</f>
        <v/>
      </c>
      <c r="I42">
        <f>IF(OR(A42="",F42=""),"",IF(H42&lt;=0.004,"Paid",IF(AND(E42&lt;&gt;"",TODAY()&gt;E42),"Overdue",IF(G42&gt;0,"Partial","Open"))))</f>
        <v/>
      </c>
      <c r="J42">
        <f>IF(I42="Overdue",TODAY()-E42,"")</f>
        <v/>
      </c>
    </row>
    <row r="43">
      <c r="A43" s="16" t="n"/>
      <c r="B43" s="16" t="n"/>
      <c r="C43" s="15" t="n"/>
      <c r="D43" s="16" t="n"/>
      <c r="E43" s="20">
        <f>IF(OR(C43="",D43=""),"",C43+D43)</f>
        <v/>
      </c>
      <c r="F43" s="18" t="n"/>
      <c r="G43" s="6">
        <f>IF(A43="","",SUMIFS(Income!$E$5:$E$504,Income!$C$5:$C$504,A43))</f>
        <v/>
      </c>
      <c r="H43" s="6">
        <f>IF(OR(A43="",F43=""),"",F43-G43)</f>
        <v/>
      </c>
      <c r="I43">
        <f>IF(OR(A43="",F43=""),"",IF(H43&lt;=0.004,"Paid",IF(AND(E43&lt;&gt;"",TODAY()&gt;E43),"Overdue",IF(G43&gt;0,"Partial","Open"))))</f>
        <v/>
      </c>
      <c r="J43">
        <f>IF(I43="Overdue",TODAY()-E43,"")</f>
        <v/>
      </c>
    </row>
    <row r="44">
      <c r="A44" s="16" t="n"/>
      <c r="B44" s="16" t="n"/>
      <c r="C44" s="15" t="n"/>
      <c r="D44" s="16" t="n"/>
      <c r="E44" s="20">
        <f>IF(OR(C44="",D44=""),"",C44+D44)</f>
        <v/>
      </c>
      <c r="F44" s="18" t="n"/>
      <c r="G44" s="6">
        <f>IF(A44="","",SUMIFS(Income!$E$5:$E$504,Income!$C$5:$C$504,A44))</f>
        <v/>
      </c>
      <c r="H44" s="6">
        <f>IF(OR(A44="",F44=""),"",F44-G44)</f>
        <v/>
      </c>
      <c r="I44">
        <f>IF(OR(A44="",F44=""),"",IF(H44&lt;=0.004,"Paid",IF(AND(E44&lt;&gt;"",TODAY()&gt;E44),"Overdue",IF(G44&gt;0,"Partial","Open"))))</f>
        <v/>
      </c>
      <c r="J44">
        <f>IF(I44="Overdue",TODAY()-E44,"")</f>
        <v/>
      </c>
    </row>
    <row r="45">
      <c r="A45" s="16" t="n"/>
      <c r="B45" s="16" t="n"/>
      <c r="C45" s="15" t="n"/>
      <c r="D45" s="16" t="n"/>
      <c r="E45" s="20">
        <f>IF(OR(C45="",D45=""),"",C45+D45)</f>
        <v/>
      </c>
      <c r="F45" s="18" t="n"/>
      <c r="G45" s="6">
        <f>IF(A45="","",SUMIFS(Income!$E$5:$E$504,Income!$C$5:$C$504,A45))</f>
        <v/>
      </c>
      <c r="H45" s="6">
        <f>IF(OR(A45="",F45=""),"",F45-G45)</f>
        <v/>
      </c>
      <c r="I45">
        <f>IF(OR(A45="",F45=""),"",IF(H45&lt;=0.004,"Paid",IF(AND(E45&lt;&gt;"",TODAY()&gt;E45),"Overdue",IF(G45&gt;0,"Partial","Open"))))</f>
        <v/>
      </c>
      <c r="J45">
        <f>IF(I45="Overdue",TODAY()-E45,"")</f>
        <v/>
      </c>
    </row>
    <row r="46">
      <c r="A46" s="16" t="n"/>
      <c r="B46" s="16" t="n"/>
      <c r="C46" s="15" t="n"/>
      <c r="D46" s="16" t="n"/>
      <c r="E46" s="20">
        <f>IF(OR(C46="",D46=""),"",C46+D46)</f>
        <v/>
      </c>
      <c r="F46" s="18" t="n"/>
      <c r="G46" s="6">
        <f>IF(A46="","",SUMIFS(Income!$E$5:$E$504,Income!$C$5:$C$504,A46))</f>
        <v/>
      </c>
      <c r="H46" s="6">
        <f>IF(OR(A46="",F46=""),"",F46-G46)</f>
        <v/>
      </c>
      <c r="I46">
        <f>IF(OR(A46="",F46=""),"",IF(H46&lt;=0.004,"Paid",IF(AND(E46&lt;&gt;"",TODAY()&gt;E46),"Overdue",IF(G46&gt;0,"Partial","Open"))))</f>
        <v/>
      </c>
      <c r="J46">
        <f>IF(I46="Overdue",TODAY()-E46,"")</f>
        <v/>
      </c>
    </row>
    <row r="47">
      <c r="A47" s="16" t="n"/>
      <c r="B47" s="16" t="n"/>
      <c r="C47" s="15" t="n"/>
      <c r="D47" s="16" t="n"/>
      <c r="E47" s="20">
        <f>IF(OR(C47="",D47=""),"",C47+D47)</f>
        <v/>
      </c>
      <c r="F47" s="18" t="n"/>
      <c r="G47" s="6">
        <f>IF(A47="","",SUMIFS(Income!$E$5:$E$504,Income!$C$5:$C$504,A47))</f>
        <v/>
      </c>
      <c r="H47" s="6">
        <f>IF(OR(A47="",F47=""),"",F47-G47)</f>
        <v/>
      </c>
      <c r="I47">
        <f>IF(OR(A47="",F47=""),"",IF(H47&lt;=0.004,"Paid",IF(AND(E47&lt;&gt;"",TODAY()&gt;E47),"Overdue",IF(G47&gt;0,"Partial","Open"))))</f>
        <v/>
      </c>
      <c r="J47">
        <f>IF(I47="Overdue",TODAY()-E47,"")</f>
        <v/>
      </c>
    </row>
    <row r="48">
      <c r="A48" s="16" t="n"/>
      <c r="B48" s="16" t="n"/>
      <c r="C48" s="15" t="n"/>
      <c r="D48" s="16" t="n"/>
      <c r="E48" s="20">
        <f>IF(OR(C48="",D48=""),"",C48+D48)</f>
        <v/>
      </c>
      <c r="F48" s="18" t="n"/>
      <c r="G48" s="6">
        <f>IF(A48="","",SUMIFS(Income!$E$5:$E$504,Income!$C$5:$C$504,A48))</f>
        <v/>
      </c>
      <c r="H48" s="6">
        <f>IF(OR(A48="",F48=""),"",F48-G48)</f>
        <v/>
      </c>
      <c r="I48">
        <f>IF(OR(A48="",F48=""),"",IF(H48&lt;=0.004,"Paid",IF(AND(E48&lt;&gt;"",TODAY()&gt;E48),"Overdue",IF(G48&gt;0,"Partial","Open"))))</f>
        <v/>
      </c>
      <c r="J48">
        <f>IF(I48="Overdue",TODAY()-E48,"")</f>
        <v/>
      </c>
    </row>
    <row r="49">
      <c r="A49" s="16" t="n"/>
      <c r="B49" s="16" t="n"/>
      <c r="C49" s="15" t="n"/>
      <c r="D49" s="16" t="n"/>
      <c r="E49" s="20">
        <f>IF(OR(C49="",D49=""),"",C49+D49)</f>
        <v/>
      </c>
      <c r="F49" s="18" t="n"/>
      <c r="G49" s="6">
        <f>IF(A49="","",SUMIFS(Income!$E$5:$E$504,Income!$C$5:$C$504,A49))</f>
        <v/>
      </c>
      <c r="H49" s="6">
        <f>IF(OR(A49="",F49=""),"",F49-G49)</f>
        <v/>
      </c>
      <c r="I49">
        <f>IF(OR(A49="",F49=""),"",IF(H49&lt;=0.004,"Paid",IF(AND(E49&lt;&gt;"",TODAY()&gt;E49),"Overdue",IF(G49&gt;0,"Partial","Open"))))</f>
        <v/>
      </c>
      <c r="J49">
        <f>IF(I49="Overdue",TODAY()-E49,"")</f>
        <v/>
      </c>
    </row>
    <row r="50">
      <c r="A50" s="16" t="n"/>
      <c r="B50" s="16" t="n"/>
      <c r="C50" s="15" t="n"/>
      <c r="D50" s="16" t="n"/>
      <c r="E50" s="20">
        <f>IF(OR(C50="",D50=""),"",C50+D50)</f>
        <v/>
      </c>
      <c r="F50" s="18" t="n"/>
      <c r="G50" s="6">
        <f>IF(A50="","",SUMIFS(Income!$E$5:$E$504,Income!$C$5:$C$504,A50))</f>
        <v/>
      </c>
      <c r="H50" s="6">
        <f>IF(OR(A50="",F50=""),"",F50-G50)</f>
        <v/>
      </c>
      <c r="I50">
        <f>IF(OR(A50="",F50=""),"",IF(H50&lt;=0.004,"Paid",IF(AND(E50&lt;&gt;"",TODAY()&gt;E50),"Overdue",IF(G50&gt;0,"Partial","Open"))))</f>
        <v/>
      </c>
      <c r="J50">
        <f>IF(I50="Overdue",TODAY()-E50,"")</f>
        <v/>
      </c>
    </row>
    <row r="51">
      <c r="A51" s="16" t="n"/>
      <c r="B51" s="16" t="n"/>
      <c r="C51" s="15" t="n"/>
      <c r="D51" s="16" t="n"/>
      <c r="E51" s="20">
        <f>IF(OR(C51="",D51=""),"",C51+D51)</f>
        <v/>
      </c>
      <c r="F51" s="18" t="n"/>
      <c r="G51" s="6">
        <f>IF(A51="","",SUMIFS(Income!$E$5:$E$504,Income!$C$5:$C$504,A51))</f>
        <v/>
      </c>
      <c r="H51" s="6">
        <f>IF(OR(A51="",F51=""),"",F51-G51)</f>
        <v/>
      </c>
      <c r="I51">
        <f>IF(OR(A51="",F51=""),"",IF(H51&lt;=0.004,"Paid",IF(AND(E51&lt;&gt;"",TODAY()&gt;E51),"Overdue",IF(G51&gt;0,"Partial","Open"))))</f>
        <v/>
      </c>
      <c r="J51">
        <f>IF(I51="Overdue",TODAY()-E51,"")</f>
        <v/>
      </c>
    </row>
    <row r="52">
      <c r="A52" s="16" t="n"/>
      <c r="B52" s="16" t="n"/>
      <c r="C52" s="15" t="n"/>
      <c r="D52" s="16" t="n"/>
      <c r="E52" s="20">
        <f>IF(OR(C52="",D52=""),"",C52+D52)</f>
        <v/>
      </c>
      <c r="F52" s="18" t="n"/>
      <c r="G52" s="6">
        <f>IF(A52="","",SUMIFS(Income!$E$5:$E$504,Income!$C$5:$C$504,A52))</f>
        <v/>
      </c>
      <c r="H52" s="6">
        <f>IF(OR(A52="",F52=""),"",F52-G52)</f>
        <v/>
      </c>
      <c r="I52">
        <f>IF(OR(A52="",F52=""),"",IF(H52&lt;=0.004,"Paid",IF(AND(E52&lt;&gt;"",TODAY()&gt;E52),"Overdue",IF(G52&gt;0,"Partial","Open"))))</f>
        <v/>
      </c>
      <c r="J52">
        <f>IF(I52="Overdue",TODAY()-E52,"")</f>
        <v/>
      </c>
    </row>
    <row r="53">
      <c r="A53" s="16" t="n"/>
      <c r="B53" s="16" t="n"/>
      <c r="C53" s="15" t="n"/>
      <c r="D53" s="16" t="n"/>
      <c r="E53" s="20">
        <f>IF(OR(C53="",D53=""),"",C53+D53)</f>
        <v/>
      </c>
      <c r="F53" s="18" t="n"/>
      <c r="G53" s="6">
        <f>IF(A53="","",SUMIFS(Income!$E$5:$E$504,Income!$C$5:$C$504,A53))</f>
        <v/>
      </c>
      <c r="H53" s="6">
        <f>IF(OR(A53="",F53=""),"",F53-G53)</f>
        <v/>
      </c>
      <c r="I53">
        <f>IF(OR(A53="",F53=""),"",IF(H53&lt;=0.004,"Paid",IF(AND(E53&lt;&gt;"",TODAY()&gt;E53),"Overdue",IF(G53&gt;0,"Partial","Open"))))</f>
        <v/>
      </c>
      <c r="J53">
        <f>IF(I53="Overdue",TODAY()-E53,"")</f>
        <v/>
      </c>
    </row>
    <row r="54">
      <c r="A54" s="16" t="n"/>
      <c r="B54" s="16" t="n"/>
      <c r="C54" s="15" t="n"/>
      <c r="D54" s="16" t="n"/>
      <c r="E54" s="20">
        <f>IF(OR(C54="",D54=""),"",C54+D54)</f>
        <v/>
      </c>
      <c r="F54" s="18" t="n"/>
      <c r="G54" s="6">
        <f>IF(A54="","",SUMIFS(Income!$E$5:$E$504,Income!$C$5:$C$504,A54))</f>
        <v/>
      </c>
      <c r="H54" s="6">
        <f>IF(OR(A54="",F54=""),"",F54-G54)</f>
        <v/>
      </c>
      <c r="I54">
        <f>IF(OR(A54="",F54=""),"",IF(H54&lt;=0.004,"Paid",IF(AND(E54&lt;&gt;"",TODAY()&gt;E54),"Overdue",IF(G54&gt;0,"Partial","Open"))))</f>
        <v/>
      </c>
      <c r="J54">
        <f>IF(I54="Overdue",TODAY()-E54,"")</f>
        <v/>
      </c>
    </row>
    <row r="55">
      <c r="A55" s="16" t="n"/>
      <c r="B55" s="16" t="n"/>
      <c r="C55" s="15" t="n"/>
      <c r="D55" s="16" t="n"/>
      <c r="E55" s="20">
        <f>IF(OR(C55="",D55=""),"",C55+D55)</f>
        <v/>
      </c>
      <c r="F55" s="18" t="n"/>
      <c r="G55" s="6">
        <f>IF(A55="","",SUMIFS(Income!$E$5:$E$504,Income!$C$5:$C$504,A55))</f>
        <v/>
      </c>
      <c r="H55" s="6">
        <f>IF(OR(A55="",F55=""),"",F55-G55)</f>
        <v/>
      </c>
      <c r="I55">
        <f>IF(OR(A55="",F55=""),"",IF(H55&lt;=0.004,"Paid",IF(AND(E55&lt;&gt;"",TODAY()&gt;E55),"Overdue",IF(G55&gt;0,"Partial","Open"))))</f>
        <v/>
      </c>
      <c r="J55">
        <f>IF(I55="Overdue",TODAY()-E55,"")</f>
        <v/>
      </c>
    </row>
    <row r="56">
      <c r="A56" s="16" t="n"/>
      <c r="B56" s="16" t="n"/>
      <c r="C56" s="15" t="n"/>
      <c r="D56" s="16" t="n"/>
      <c r="E56" s="20">
        <f>IF(OR(C56="",D56=""),"",C56+D56)</f>
        <v/>
      </c>
      <c r="F56" s="18" t="n"/>
      <c r="G56" s="6">
        <f>IF(A56="","",SUMIFS(Income!$E$5:$E$504,Income!$C$5:$C$504,A56))</f>
        <v/>
      </c>
      <c r="H56" s="6">
        <f>IF(OR(A56="",F56=""),"",F56-G56)</f>
        <v/>
      </c>
      <c r="I56">
        <f>IF(OR(A56="",F56=""),"",IF(H56&lt;=0.004,"Paid",IF(AND(E56&lt;&gt;"",TODAY()&gt;E56),"Overdue",IF(G56&gt;0,"Partial","Open"))))</f>
        <v/>
      </c>
      <c r="J56">
        <f>IF(I56="Overdue",TODAY()-E56,"")</f>
        <v/>
      </c>
    </row>
    <row r="57">
      <c r="A57" s="16" t="n"/>
      <c r="B57" s="16" t="n"/>
      <c r="C57" s="15" t="n"/>
      <c r="D57" s="16" t="n"/>
      <c r="E57" s="20">
        <f>IF(OR(C57="",D57=""),"",C57+D57)</f>
        <v/>
      </c>
      <c r="F57" s="18" t="n"/>
      <c r="G57" s="6">
        <f>IF(A57="","",SUMIFS(Income!$E$5:$E$504,Income!$C$5:$C$504,A57))</f>
        <v/>
      </c>
      <c r="H57" s="6">
        <f>IF(OR(A57="",F57=""),"",F57-G57)</f>
        <v/>
      </c>
      <c r="I57">
        <f>IF(OR(A57="",F57=""),"",IF(H57&lt;=0.004,"Paid",IF(AND(E57&lt;&gt;"",TODAY()&gt;E57),"Overdue",IF(G57&gt;0,"Partial","Open"))))</f>
        <v/>
      </c>
      <c r="J57">
        <f>IF(I57="Overdue",TODAY()-E57,"")</f>
        <v/>
      </c>
    </row>
    <row r="58">
      <c r="A58" s="16" t="n"/>
      <c r="B58" s="16" t="n"/>
      <c r="C58" s="15" t="n"/>
      <c r="D58" s="16" t="n"/>
      <c r="E58" s="20">
        <f>IF(OR(C58="",D58=""),"",C58+D58)</f>
        <v/>
      </c>
      <c r="F58" s="18" t="n"/>
      <c r="G58" s="6">
        <f>IF(A58="","",SUMIFS(Income!$E$5:$E$504,Income!$C$5:$C$504,A58))</f>
        <v/>
      </c>
      <c r="H58" s="6">
        <f>IF(OR(A58="",F58=""),"",F58-G58)</f>
        <v/>
      </c>
      <c r="I58">
        <f>IF(OR(A58="",F58=""),"",IF(H58&lt;=0.004,"Paid",IF(AND(E58&lt;&gt;"",TODAY()&gt;E58),"Overdue",IF(G58&gt;0,"Partial","Open"))))</f>
        <v/>
      </c>
      <c r="J58">
        <f>IF(I58="Overdue",TODAY()-E58,"")</f>
        <v/>
      </c>
    </row>
    <row r="59">
      <c r="A59" s="16" t="n"/>
      <c r="B59" s="16" t="n"/>
      <c r="C59" s="15" t="n"/>
      <c r="D59" s="16" t="n"/>
      <c r="E59" s="20">
        <f>IF(OR(C59="",D59=""),"",C59+D59)</f>
        <v/>
      </c>
      <c r="F59" s="18" t="n"/>
      <c r="G59" s="6">
        <f>IF(A59="","",SUMIFS(Income!$E$5:$E$504,Income!$C$5:$C$504,A59))</f>
        <v/>
      </c>
      <c r="H59" s="6">
        <f>IF(OR(A59="",F59=""),"",F59-G59)</f>
        <v/>
      </c>
      <c r="I59">
        <f>IF(OR(A59="",F59=""),"",IF(H59&lt;=0.004,"Paid",IF(AND(E59&lt;&gt;"",TODAY()&gt;E59),"Overdue",IF(G59&gt;0,"Partial","Open"))))</f>
        <v/>
      </c>
      <c r="J59">
        <f>IF(I59="Overdue",TODAY()-E59,"")</f>
        <v/>
      </c>
    </row>
    <row r="60">
      <c r="A60" s="16" t="n"/>
      <c r="B60" s="16" t="n"/>
      <c r="C60" s="15" t="n"/>
      <c r="D60" s="16" t="n"/>
      <c r="E60" s="20">
        <f>IF(OR(C60="",D60=""),"",C60+D60)</f>
        <v/>
      </c>
      <c r="F60" s="18" t="n"/>
      <c r="G60" s="6">
        <f>IF(A60="","",SUMIFS(Income!$E$5:$E$504,Income!$C$5:$C$504,A60))</f>
        <v/>
      </c>
      <c r="H60" s="6">
        <f>IF(OR(A60="",F60=""),"",F60-G60)</f>
        <v/>
      </c>
      <c r="I60">
        <f>IF(OR(A60="",F60=""),"",IF(H60&lt;=0.004,"Paid",IF(AND(E60&lt;&gt;"",TODAY()&gt;E60),"Overdue",IF(G60&gt;0,"Partial","Open"))))</f>
        <v/>
      </c>
      <c r="J60">
        <f>IF(I60="Overdue",TODAY()-E60,"")</f>
        <v/>
      </c>
    </row>
    <row r="61">
      <c r="A61" s="16" t="n"/>
      <c r="B61" s="16" t="n"/>
      <c r="C61" s="15" t="n"/>
      <c r="D61" s="16" t="n"/>
      <c r="E61" s="20">
        <f>IF(OR(C61="",D61=""),"",C61+D61)</f>
        <v/>
      </c>
      <c r="F61" s="18" t="n"/>
      <c r="G61" s="6">
        <f>IF(A61="","",SUMIFS(Income!$E$5:$E$504,Income!$C$5:$C$504,A61))</f>
        <v/>
      </c>
      <c r="H61" s="6">
        <f>IF(OR(A61="",F61=""),"",F61-G61)</f>
        <v/>
      </c>
      <c r="I61">
        <f>IF(OR(A61="",F61=""),"",IF(H61&lt;=0.004,"Paid",IF(AND(E61&lt;&gt;"",TODAY()&gt;E61),"Overdue",IF(G61&gt;0,"Partial","Open"))))</f>
        <v/>
      </c>
      <c r="J61">
        <f>IF(I61="Overdue",TODAY()-E61,"")</f>
        <v/>
      </c>
    </row>
    <row r="62">
      <c r="A62" s="16" t="n"/>
      <c r="B62" s="16" t="n"/>
      <c r="C62" s="15" t="n"/>
      <c r="D62" s="16" t="n"/>
      <c r="E62" s="20">
        <f>IF(OR(C62="",D62=""),"",C62+D62)</f>
        <v/>
      </c>
      <c r="F62" s="18" t="n"/>
      <c r="G62" s="6">
        <f>IF(A62="","",SUMIFS(Income!$E$5:$E$504,Income!$C$5:$C$504,A62))</f>
        <v/>
      </c>
      <c r="H62" s="6">
        <f>IF(OR(A62="",F62=""),"",F62-G62)</f>
        <v/>
      </c>
      <c r="I62">
        <f>IF(OR(A62="",F62=""),"",IF(H62&lt;=0.004,"Paid",IF(AND(E62&lt;&gt;"",TODAY()&gt;E62),"Overdue",IF(G62&gt;0,"Partial","Open"))))</f>
        <v/>
      </c>
      <c r="J62">
        <f>IF(I62="Overdue",TODAY()-E62,"")</f>
        <v/>
      </c>
    </row>
    <row r="63">
      <c r="A63" s="16" t="n"/>
      <c r="B63" s="16" t="n"/>
      <c r="C63" s="15" t="n"/>
      <c r="D63" s="16" t="n"/>
      <c r="E63" s="20">
        <f>IF(OR(C63="",D63=""),"",C63+D63)</f>
        <v/>
      </c>
      <c r="F63" s="18" t="n"/>
      <c r="G63" s="6">
        <f>IF(A63="","",SUMIFS(Income!$E$5:$E$504,Income!$C$5:$C$504,A63))</f>
        <v/>
      </c>
      <c r="H63" s="6">
        <f>IF(OR(A63="",F63=""),"",F63-G63)</f>
        <v/>
      </c>
      <c r="I63">
        <f>IF(OR(A63="",F63=""),"",IF(H63&lt;=0.004,"Paid",IF(AND(E63&lt;&gt;"",TODAY()&gt;E63),"Overdue",IF(G63&gt;0,"Partial","Open"))))</f>
        <v/>
      </c>
      <c r="J63">
        <f>IF(I63="Overdue",TODAY()-E63,"")</f>
        <v/>
      </c>
    </row>
    <row r="64">
      <c r="A64" s="16" t="n"/>
      <c r="B64" s="16" t="n"/>
      <c r="C64" s="15" t="n"/>
      <c r="D64" s="16" t="n"/>
      <c r="E64" s="20">
        <f>IF(OR(C64="",D64=""),"",C64+D64)</f>
        <v/>
      </c>
      <c r="F64" s="18" t="n"/>
      <c r="G64" s="6">
        <f>IF(A64="","",SUMIFS(Income!$E$5:$E$504,Income!$C$5:$C$504,A64))</f>
        <v/>
      </c>
      <c r="H64" s="6">
        <f>IF(OR(A64="",F64=""),"",F64-G64)</f>
        <v/>
      </c>
      <c r="I64">
        <f>IF(OR(A64="",F64=""),"",IF(H64&lt;=0.004,"Paid",IF(AND(E64&lt;&gt;"",TODAY()&gt;E64),"Overdue",IF(G64&gt;0,"Partial","Open"))))</f>
        <v/>
      </c>
      <c r="J64">
        <f>IF(I64="Overdue",TODAY()-E64,"")</f>
        <v/>
      </c>
    </row>
    <row r="65">
      <c r="A65" s="16" t="n"/>
      <c r="B65" s="16" t="n"/>
      <c r="C65" s="15" t="n"/>
      <c r="D65" s="16" t="n"/>
      <c r="E65" s="20">
        <f>IF(OR(C65="",D65=""),"",C65+D65)</f>
        <v/>
      </c>
      <c r="F65" s="18" t="n"/>
      <c r="G65" s="6">
        <f>IF(A65="","",SUMIFS(Income!$E$5:$E$504,Income!$C$5:$C$504,A65))</f>
        <v/>
      </c>
      <c r="H65" s="6">
        <f>IF(OR(A65="",F65=""),"",F65-G65)</f>
        <v/>
      </c>
      <c r="I65">
        <f>IF(OR(A65="",F65=""),"",IF(H65&lt;=0.004,"Paid",IF(AND(E65&lt;&gt;"",TODAY()&gt;E65),"Overdue",IF(G65&gt;0,"Partial","Open"))))</f>
        <v/>
      </c>
      <c r="J65">
        <f>IF(I65="Overdue",TODAY()-E65,"")</f>
        <v/>
      </c>
    </row>
    <row r="66">
      <c r="A66" s="16" t="n"/>
      <c r="B66" s="16" t="n"/>
      <c r="C66" s="15" t="n"/>
      <c r="D66" s="16" t="n"/>
      <c r="E66" s="20">
        <f>IF(OR(C66="",D66=""),"",C66+D66)</f>
        <v/>
      </c>
      <c r="F66" s="18" t="n"/>
      <c r="G66" s="6">
        <f>IF(A66="","",SUMIFS(Income!$E$5:$E$504,Income!$C$5:$C$504,A66))</f>
        <v/>
      </c>
      <c r="H66" s="6">
        <f>IF(OR(A66="",F66=""),"",F66-G66)</f>
        <v/>
      </c>
      <c r="I66">
        <f>IF(OR(A66="",F66=""),"",IF(H66&lt;=0.004,"Paid",IF(AND(E66&lt;&gt;"",TODAY()&gt;E66),"Overdue",IF(G66&gt;0,"Partial","Open"))))</f>
        <v/>
      </c>
      <c r="J66">
        <f>IF(I66="Overdue",TODAY()-E66,"")</f>
        <v/>
      </c>
    </row>
    <row r="67">
      <c r="A67" s="16" t="n"/>
      <c r="B67" s="16" t="n"/>
      <c r="C67" s="15" t="n"/>
      <c r="D67" s="16" t="n"/>
      <c r="E67" s="20">
        <f>IF(OR(C67="",D67=""),"",C67+D67)</f>
        <v/>
      </c>
      <c r="F67" s="18" t="n"/>
      <c r="G67" s="6">
        <f>IF(A67="","",SUMIFS(Income!$E$5:$E$504,Income!$C$5:$C$504,A67))</f>
        <v/>
      </c>
      <c r="H67" s="6">
        <f>IF(OR(A67="",F67=""),"",F67-G67)</f>
        <v/>
      </c>
      <c r="I67">
        <f>IF(OR(A67="",F67=""),"",IF(H67&lt;=0.004,"Paid",IF(AND(E67&lt;&gt;"",TODAY()&gt;E67),"Overdue",IF(G67&gt;0,"Partial","Open"))))</f>
        <v/>
      </c>
      <c r="J67">
        <f>IF(I67="Overdue",TODAY()-E67,"")</f>
        <v/>
      </c>
    </row>
    <row r="68">
      <c r="A68" s="16" t="n"/>
      <c r="B68" s="16" t="n"/>
      <c r="C68" s="15" t="n"/>
      <c r="D68" s="16" t="n"/>
      <c r="E68" s="20">
        <f>IF(OR(C68="",D68=""),"",C68+D68)</f>
        <v/>
      </c>
      <c r="F68" s="18" t="n"/>
      <c r="G68" s="6">
        <f>IF(A68="","",SUMIFS(Income!$E$5:$E$504,Income!$C$5:$C$504,A68))</f>
        <v/>
      </c>
      <c r="H68" s="6">
        <f>IF(OR(A68="",F68=""),"",F68-G68)</f>
        <v/>
      </c>
      <c r="I68">
        <f>IF(OR(A68="",F68=""),"",IF(H68&lt;=0.004,"Paid",IF(AND(E68&lt;&gt;"",TODAY()&gt;E68),"Overdue",IF(G68&gt;0,"Partial","Open"))))</f>
        <v/>
      </c>
      <c r="J68">
        <f>IF(I68="Overdue",TODAY()-E68,"")</f>
        <v/>
      </c>
    </row>
    <row r="69">
      <c r="A69" s="16" t="n"/>
      <c r="B69" s="16" t="n"/>
      <c r="C69" s="15" t="n"/>
      <c r="D69" s="16" t="n"/>
      <c r="E69" s="20">
        <f>IF(OR(C69="",D69=""),"",C69+D69)</f>
        <v/>
      </c>
      <c r="F69" s="18" t="n"/>
      <c r="G69" s="6">
        <f>IF(A69="","",SUMIFS(Income!$E$5:$E$504,Income!$C$5:$C$504,A69))</f>
        <v/>
      </c>
      <c r="H69" s="6">
        <f>IF(OR(A69="",F69=""),"",F69-G69)</f>
        <v/>
      </c>
      <c r="I69">
        <f>IF(OR(A69="",F69=""),"",IF(H69&lt;=0.004,"Paid",IF(AND(E69&lt;&gt;"",TODAY()&gt;E69),"Overdue",IF(G69&gt;0,"Partial","Open"))))</f>
        <v/>
      </c>
      <c r="J69">
        <f>IF(I69="Overdue",TODAY()-E69,"")</f>
        <v/>
      </c>
    </row>
    <row r="70">
      <c r="A70" s="16" t="n"/>
      <c r="B70" s="16" t="n"/>
      <c r="C70" s="15" t="n"/>
      <c r="D70" s="16" t="n"/>
      <c r="E70" s="20">
        <f>IF(OR(C70="",D70=""),"",C70+D70)</f>
        <v/>
      </c>
      <c r="F70" s="18" t="n"/>
      <c r="G70" s="6">
        <f>IF(A70="","",SUMIFS(Income!$E$5:$E$504,Income!$C$5:$C$504,A70))</f>
        <v/>
      </c>
      <c r="H70" s="6">
        <f>IF(OR(A70="",F70=""),"",F70-G70)</f>
        <v/>
      </c>
      <c r="I70">
        <f>IF(OR(A70="",F70=""),"",IF(H70&lt;=0.004,"Paid",IF(AND(E70&lt;&gt;"",TODAY()&gt;E70),"Overdue",IF(G70&gt;0,"Partial","Open"))))</f>
        <v/>
      </c>
      <c r="J70">
        <f>IF(I70="Overdue",TODAY()-E70,"")</f>
        <v/>
      </c>
    </row>
    <row r="71">
      <c r="A71" s="16" t="n"/>
      <c r="B71" s="16" t="n"/>
      <c r="C71" s="15" t="n"/>
      <c r="D71" s="16" t="n"/>
      <c r="E71" s="20">
        <f>IF(OR(C71="",D71=""),"",C71+D71)</f>
        <v/>
      </c>
      <c r="F71" s="18" t="n"/>
      <c r="G71" s="6">
        <f>IF(A71="","",SUMIFS(Income!$E$5:$E$504,Income!$C$5:$C$504,A71))</f>
        <v/>
      </c>
      <c r="H71" s="6">
        <f>IF(OR(A71="",F71=""),"",F71-G71)</f>
        <v/>
      </c>
      <c r="I71">
        <f>IF(OR(A71="",F71=""),"",IF(H71&lt;=0.004,"Paid",IF(AND(E71&lt;&gt;"",TODAY()&gt;E71),"Overdue",IF(G71&gt;0,"Partial","Open"))))</f>
        <v/>
      </c>
      <c r="J71">
        <f>IF(I71="Overdue",TODAY()-E71,"")</f>
        <v/>
      </c>
    </row>
    <row r="72">
      <c r="A72" s="16" t="n"/>
      <c r="B72" s="16" t="n"/>
      <c r="C72" s="15" t="n"/>
      <c r="D72" s="16" t="n"/>
      <c r="E72" s="20">
        <f>IF(OR(C72="",D72=""),"",C72+D72)</f>
        <v/>
      </c>
      <c r="F72" s="18" t="n"/>
      <c r="G72" s="6">
        <f>IF(A72="","",SUMIFS(Income!$E$5:$E$504,Income!$C$5:$C$504,A72))</f>
        <v/>
      </c>
      <c r="H72" s="6">
        <f>IF(OR(A72="",F72=""),"",F72-G72)</f>
        <v/>
      </c>
      <c r="I72">
        <f>IF(OR(A72="",F72=""),"",IF(H72&lt;=0.004,"Paid",IF(AND(E72&lt;&gt;"",TODAY()&gt;E72),"Overdue",IF(G72&gt;0,"Partial","Open"))))</f>
        <v/>
      </c>
      <c r="J72">
        <f>IF(I72="Overdue",TODAY()-E72,"")</f>
        <v/>
      </c>
    </row>
    <row r="73">
      <c r="A73" s="16" t="n"/>
      <c r="B73" s="16" t="n"/>
      <c r="C73" s="15" t="n"/>
      <c r="D73" s="16" t="n"/>
      <c r="E73" s="20">
        <f>IF(OR(C73="",D73=""),"",C73+D73)</f>
        <v/>
      </c>
      <c r="F73" s="18" t="n"/>
      <c r="G73" s="6">
        <f>IF(A73="","",SUMIFS(Income!$E$5:$E$504,Income!$C$5:$C$504,A73))</f>
        <v/>
      </c>
      <c r="H73" s="6">
        <f>IF(OR(A73="",F73=""),"",F73-G73)</f>
        <v/>
      </c>
      <c r="I73">
        <f>IF(OR(A73="",F73=""),"",IF(H73&lt;=0.004,"Paid",IF(AND(E73&lt;&gt;"",TODAY()&gt;E73),"Overdue",IF(G73&gt;0,"Partial","Open"))))</f>
        <v/>
      </c>
      <c r="J73">
        <f>IF(I73="Overdue",TODAY()-E73,"")</f>
        <v/>
      </c>
    </row>
    <row r="74">
      <c r="A74" s="16" t="n"/>
      <c r="B74" s="16" t="n"/>
      <c r="C74" s="15" t="n"/>
      <c r="D74" s="16" t="n"/>
      <c r="E74" s="20">
        <f>IF(OR(C74="",D74=""),"",C74+D74)</f>
        <v/>
      </c>
      <c r="F74" s="18" t="n"/>
      <c r="G74" s="6">
        <f>IF(A74="","",SUMIFS(Income!$E$5:$E$504,Income!$C$5:$C$504,A74))</f>
        <v/>
      </c>
      <c r="H74" s="6">
        <f>IF(OR(A74="",F74=""),"",F74-G74)</f>
        <v/>
      </c>
      <c r="I74">
        <f>IF(OR(A74="",F74=""),"",IF(H74&lt;=0.004,"Paid",IF(AND(E74&lt;&gt;"",TODAY()&gt;E74),"Overdue",IF(G74&gt;0,"Partial","Open"))))</f>
        <v/>
      </c>
      <c r="J74">
        <f>IF(I74="Overdue",TODAY()-E74,"")</f>
        <v/>
      </c>
    </row>
    <row r="75">
      <c r="A75" s="16" t="n"/>
      <c r="B75" s="16" t="n"/>
      <c r="C75" s="15" t="n"/>
      <c r="D75" s="16" t="n"/>
      <c r="E75" s="20">
        <f>IF(OR(C75="",D75=""),"",C75+D75)</f>
        <v/>
      </c>
      <c r="F75" s="18" t="n"/>
      <c r="G75" s="6">
        <f>IF(A75="","",SUMIFS(Income!$E$5:$E$504,Income!$C$5:$C$504,A75))</f>
        <v/>
      </c>
      <c r="H75" s="6">
        <f>IF(OR(A75="",F75=""),"",F75-G75)</f>
        <v/>
      </c>
      <c r="I75">
        <f>IF(OR(A75="",F75=""),"",IF(H75&lt;=0.004,"Paid",IF(AND(E75&lt;&gt;"",TODAY()&gt;E75),"Overdue",IF(G75&gt;0,"Partial","Open"))))</f>
        <v/>
      </c>
      <c r="J75">
        <f>IF(I75="Overdue",TODAY()-E75,"")</f>
        <v/>
      </c>
    </row>
    <row r="76">
      <c r="A76" s="16" t="n"/>
      <c r="B76" s="16" t="n"/>
      <c r="C76" s="15" t="n"/>
      <c r="D76" s="16" t="n"/>
      <c r="E76" s="20">
        <f>IF(OR(C76="",D76=""),"",C76+D76)</f>
        <v/>
      </c>
      <c r="F76" s="18" t="n"/>
      <c r="G76" s="6">
        <f>IF(A76="","",SUMIFS(Income!$E$5:$E$504,Income!$C$5:$C$504,A76))</f>
        <v/>
      </c>
      <c r="H76" s="6">
        <f>IF(OR(A76="",F76=""),"",F76-G76)</f>
        <v/>
      </c>
      <c r="I76">
        <f>IF(OR(A76="",F76=""),"",IF(H76&lt;=0.004,"Paid",IF(AND(E76&lt;&gt;"",TODAY()&gt;E76),"Overdue",IF(G76&gt;0,"Partial","Open"))))</f>
        <v/>
      </c>
      <c r="J76">
        <f>IF(I76="Overdue",TODAY()-E76,"")</f>
        <v/>
      </c>
    </row>
    <row r="77">
      <c r="A77" s="16" t="n"/>
      <c r="B77" s="16" t="n"/>
      <c r="C77" s="15" t="n"/>
      <c r="D77" s="16" t="n"/>
      <c r="E77" s="20">
        <f>IF(OR(C77="",D77=""),"",C77+D77)</f>
        <v/>
      </c>
      <c r="F77" s="18" t="n"/>
      <c r="G77" s="6">
        <f>IF(A77="","",SUMIFS(Income!$E$5:$E$504,Income!$C$5:$C$504,A77))</f>
        <v/>
      </c>
      <c r="H77" s="6">
        <f>IF(OR(A77="",F77=""),"",F77-G77)</f>
        <v/>
      </c>
      <c r="I77">
        <f>IF(OR(A77="",F77=""),"",IF(H77&lt;=0.004,"Paid",IF(AND(E77&lt;&gt;"",TODAY()&gt;E77),"Overdue",IF(G77&gt;0,"Partial","Open"))))</f>
        <v/>
      </c>
      <c r="J77">
        <f>IF(I77="Overdue",TODAY()-E77,"")</f>
        <v/>
      </c>
    </row>
    <row r="78">
      <c r="A78" s="16" t="n"/>
      <c r="B78" s="16" t="n"/>
      <c r="C78" s="15" t="n"/>
      <c r="D78" s="16" t="n"/>
      <c r="E78" s="20">
        <f>IF(OR(C78="",D78=""),"",C78+D78)</f>
        <v/>
      </c>
      <c r="F78" s="18" t="n"/>
      <c r="G78" s="6">
        <f>IF(A78="","",SUMIFS(Income!$E$5:$E$504,Income!$C$5:$C$504,A78))</f>
        <v/>
      </c>
      <c r="H78" s="6">
        <f>IF(OR(A78="",F78=""),"",F78-G78)</f>
        <v/>
      </c>
      <c r="I78">
        <f>IF(OR(A78="",F78=""),"",IF(H78&lt;=0.004,"Paid",IF(AND(E78&lt;&gt;"",TODAY()&gt;E78),"Overdue",IF(G78&gt;0,"Partial","Open"))))</f>
        <v/>
      </c>
      <c r="J78">
        <f>IF(I78="Overdue",TODAY()-E78,"")</f>
        <v/>
      </c>
    </row>
    <row r="79">
      <c r="A79" s="16" t="n"/>
      <c r="B79" s="16" t="n"/>
      <c r="C79" s="15" t="n"/>
      <c r="D79" s="16" t="n"/>
      <c r="E79" s="20">
        <f>IF(OR(C79="",D79=""),"",C79+D79)</f>
        <v/>
      </c>
      <c r="F79" s="18" t="n"/>
      <c r="G79" s="6">
        <f>IF(A79="","",SUMIFS(Income!$E$5:$E$504,Income!$C$5:$C$504,A79))</f>
        <v/>
      </c>
      <c r="H79" s="6">
        <f>IF(OR(A79="",F79=""),"",F79-G79)</f>
        <v/>
      </c>
      <c r="I79">
        <f>IF(OR(A79="",F79=""),"",IF(H79&lt;=0.004,"Paid",IF(AND(E79&lt;&gt;"",TODAY()&gt;E79),"Overdue",IF(G79&gt;0,"Partial","Open"))))</f>
        <v/>
      </c>
      <c r="J79">
        <f>IF(I79="Overdue",TODAY()-E79,"")</f>
        <v/>
      </c>
    </row>
    <row r="80">
      <c r="A80" s="16" t="n"/>
      <c r="B80" s="16" t="n"/>
      <c r="C80" s="15" t="n"/>
      <c r="D80" s="16" t="n"/>
      <c r="E80" s="20">
        <f>IF(OR(C80="",D80=""),"",C80+D80)</f>
        <v/>
      </c>
      <c r="F80" s="18" t="n"/>
      <c r="G80" s="6">
        <f>IF(A80="","",SUMIFS(Income!$E$5:$E$504,Income!$C$5:$C$504,A80))</f>
        <v/>
      </c>
      <c r="H80" s="6">
        <f>IF(OR(A80="",F80=""),"",F80-G80)</f>
        <v/>
      </c>
      <c r="I80">
        <f>IF(OR(A80="",F80=""),"",IF(H80&lt;=0.004,"Paid",IF(AND(E80&lt;&gt;"",TODAY()&gt;E80),"Overdue",IF(G80&gt;0,"Partial","Open"))))</f>
        <v/>
      </c>
      <c r="J80">
        <f>IF(I80="Overdue",TODAY()-E80,"")</f>
        <v/>
      </c>
    </row>
    <row r="81">
      <c r="A81" s="16" t="n"/>
      <c r="B81" s="16" t="n"/>
      <c r="C81" s="15" t="n"/>
      <c r="D81" s="16" t="n"/>
      <c r="E81" s="20">
        <f>IF(OR(C81="",D81=""),"",C81+D81)</f>
        <v/>
      </c>
      <c r="F81" s="18" t="n"/>
      <c r="G81" s="6">
        <f>IF(A81="","",SUMIFS(Income!$E$5:$E$504,Income!$C$5:$C$504,A81))</f>
        <v/>
      </c>
      <c r="H81" s="6">
        <f>IF(OR(A81="",F81=""),"",F81-G81)</f>
        <v/>
      </c>
      <c r="I81">
        <f>IF(OR(A81="",F81=""),"",IF(H81&lt;=0.004,"Paid",IF(AND(E81&lt;&gt;"",TODAY()&gt;E81),"Overdue",IF(G81&gt;0,"Partial","Open"))))</f>
        <v/>
      </c>
      <c r="J81">
        <f>IF(I81="Overdue",TODAY()-E81,"")</f>
        <v/>
      </c>
    </row>
    <row r="82">
      <c r="A82" s="16" t="n"/>
      <c r="B82" s="16" t="n"/>
      <c r="C82" s="15" t="n"/>
      <c r="D82" s="16" t="n"/>
      <c r="E82" s="20">
        <f>IF(OR(C82="",D82=""),"",C82+D82)</f>
        <v/>
      </c>
      <c r="F82" s="18" t="n"/>
      <c r="G82" s="6">
        <f>IF(A82="","",SUMIFS(Income!$E$5:$E$504,Income!$C$5:$C$504,A82))</f>
        <v/>
      </c>
      <c r="H82" s="6">
        <f>IF(OR(A82="",F82=""),"",F82-G82)</f>
        <v/>
      </c>
      <c r="I82">
        <f>IF(OR(A82="",F82=""),"",IF(H82&lt;=0.004,"Paid",IF(AND(E82&lt;&gt;"",TODAY()&gt;E82),"Overdue",IF(G82&gt;0,"Partial","Open"))))</f>
        <v/>
      </c>
      <c r="J82">
        <f>IF(I82="Overdue",TODAY()-E82,"")</f>
        <v/>
      </c>
    </row>
    <row r="83">
      <c r="A83" s="16" t="n"/>
      <c r="B83" s="16" t="n"/>
      <c r="C83" s="15" t="n"/>
      <c r="D83" s="16" t="n"/>
      <c r="E83" s="20">
        <f>IF(OR(C83="",D83=""),"",C83+D83)</f>
        <v/>
      </c>
      <c r="F83" s="18" t="n"/>
      <c r="G83" s="6">
        <f>IF(A83="","",SUMIFS(Income!$E$5:$E$504,Income!$C$5:$C$504,A83))</f>
        <v/>
      </c>
      <c r="H83" s="6">
        <f>IF(OR(A83="",F83=""),"",F83-G83)</f>
        <v/>
      </c>
      <c r="I83">
        <f>IF(OR(A83="",F83=""),"",IF(H83&lt;=0.004,"Paid",IF(AND(E83&lt;&gt;"",TODAY()&gt;E83),"Overdue",IF(G83&gt;0,"Partial","Open"))))</f>
        <v/>
      </c>
      <c r="J83">
        <f>IF(I83="Overdue",TODAY()-E83,"")</f>
        <v/>
      </c>
    </row>
    <row r="84">
      <c r="A84" s="16" t="n"/>
      <c r="B84" s="16" t="n"/>
      <c r="C84" s="15" t="n"/>
      <c r="D84" s="16" t="n"/>
      <c r="E84" s="20">
        <f>IF(OR(C84="",D84=""),"",C84+D84)</f>
        <v/>
      </c>
      <c r="F84" s="18" t="n"/>
      <c r="G84" s="6">
        <f>IF(A84="","",SUMIFS(Income!$E$5:$E$504,Income!$C$5:$C$504,A84))</f>
        <v/>
      </c>
      <c r="H84" s="6">
        <f>IF(OR(A84="",F84=""),"",F84-G84)</f>
        <v/>
      </c>
      <c r="I84">
        <f>IF(OR(A84="",F84=""),"",IF(H84&lt;=0.004,"Paid",IF(AND(E84&lt;&gt;"",TODAY()&gt;E84),"Overdue",IF(G84&gt;0,"Partial","Open"))))</f>
        <v/>
      </c>
      <c r="J84">
        <f>IF(I84="Overdue",TODAY()-E84,"")</f>
        <v/>
      </c>
    </row>
    <row r="85">
      <c r="A85" s="16" t="n"/>
      <c r="B85" s="16" t="n"/>
      <c r="C85" s="15" t="n"/>
      <c r="D85" s="16" t="n"/>
      <c r="E85" s="20">
        <f>IF(OR(C85="",D85=""),"",C85+D85)</f>
        <v/>
      </c>
      <c r="F85" s="18" t="n"/>
      <c r="G85" s="6">
        <f>IF(A85="","",SUMIFS(Income!$E$5:$E$504,Income!$C$5:$C$504,A85))</f>
        <v/>
      </c>
      <c r="H85" s="6">
        <f>IF(OR(A85="",F85=""),"",F85-G85)</f>
        <v/>
      </c>
      <c r="I85">
        <f>IF(OR(A85="",F85=""),"",IF(H85&lt;=0.004,"Paid",IF(AND(E85&lt;&gt;"",TODAY()&gt;E85),"Overdue",IF(G85&gt;0,"Partial","Open"))))</f>
        <v/>
      </c>
      <c r="J85">
        <f>IF(I85="Overdue",TODAY()-E85,"")</f>
        <v/>
      </c>
    </row>
    <row r="86">
      <c r="A86" s="16" t="n"/>
      <c r="B86" s="16" t="n"/>
      <c r="C86" s="15" t="n"/>
      <c r="D86" s="16" t="n"/>
      <c r="E86" s="20">
        <f>IF(OR(C86="",D86=""),"",C86+D86)</f>
        <v/>
      </c>
      <c r="F86" s="18" t="n"/>
      <c r="G86" s="6">
        <f>IF(A86="","",SUMIFS(Income!$E$5:$E$504,Income!$C$5:$C$504,A86))</f>
        <v/>
      </c>
      <c r="H86" s="6">
        <f>IF(OR(A86="",F86=""),"",F86-G86)</f>
        <v/>
      </c>
      <c r="I86">
        <f>IF(OR(A86="",F86=""),"",IF(H86&lt;=0.004,"Paid",IF(AND(E86&lt;&gt;"",TODAY()&gt;E86),"Overdue",IF(G86&gt;0,"Partial","Open"))))</f>
        <v/>
      </c>
      <c r="J86">
        <f>IF(I86="Overdue",TODAY()-E86,"")</f>
        <v/>
      </c>
    </row>
    <row r="87">
      <c r="A87" s="16" t="n"/>
      <c r="B87" s="16" t="n"/>
      <c r="C87" s="15" t="n"/>
      <c r="D87" s="16" t="n"/>
      <c r="E87" s="20">
        <f>IF(OR(C87="",D87=""),"",C87+D87)</f>
        <v/>
      </c>
      <c r="F87" s="18" t="n"/>
      <c r="G87" s="6">
        <f>IF(A87="","",SUMIFS(Income!$E$5:$E$504,Income!$C$5:$C$504,A87))</f>
        <v/>
      </c>
      <c r="H87" s="6">
        <f>IF(OR(A87="",F87=""),"",F87-G87)</f>
        <v/>
      </c>
      <c r="I87">
        <f>IF(OR(A87="",F87=""),"",IF(H87&lt;=0.004,"Paid",IF(AND(E87&lt;&gt;"",TODAY()&gt;E87),"Overdue",IF(G87&gt;0,"Partial","Open"))))</f>
        <v/>
      </c>
      <c r="J87">
        <f>IF(I87="Overdue",TODAY()-E87,"")</f>
        <v/>
      </c>
    </row>
    <row r="88">
      <c r="A88" s="16" t="n"/>
      <c r="B88" s="16" t="n"/>
      <c r="C88" s="15" t="n"/>
      <c r="D88" s="16" t="n"/>
      <c r="E88" s="20">
        <f>IF(OR(C88="",D88=""),"",C88+D88)</f>
        <v/>
      </c>
      <c r="F88" s="18" t="n"/>
      <c r="G88" s="6">
        <f>IF(A88="","",SUMIFS(Income!$E$5:$E$504,Income!$C$5:$C$504,A88))</f>
        <v/>
      </c>
      <c r="H88" s="6">
        <f>IF(OR(A88="",F88=""),"",F88-G88)</f>
        <v/>
      </c>
      <c r="I88">
        <f>IF(OR(A88="",F88=""),"",IF(H88&lt;=0.004,"Paid",IF(AND(E88&lt;&gt;"",TODAY()&gt;E88),"Overdue",IF(G88&gt;0,"Partial","Open"))))</f>
        <v/>
      </c>
      <c r="J88">
        <f>IF(I88="Overdue",TODAY()-E88,"")</f>
        <v/>
      </c>
    </row>
    <row r="89">
      <c r="A89" s="16" t="n"/>
      <c r="B89" s="16" t="n"/>
      <c r="C89" s="15" t="n"/>
      <c r="D89" s="16" t="n"/>
      <c r="E89" s="20">
        <f>IF(OR(C89="",D89=""),"",C89+D89)</f>
        <v/>
      </c>
      <c r="F89" s="18" t="n"/>
      <c r="G89" s="6">
        <f>IF(A89="","",SUMIFS(Income!$E$5:$E$504,Income!$C$5:$C$504,A89))</f>
        <v/>
      </c>
      <c r="H89" s="6">
        <f>IF(OR(A89="",F89=""),"",F89-G89)</f>
        <v/>
      </c>
      <c r="I89">
        <f>IF(OR(A89="",F89=""),"",IF(H89&lt;=0.004,"Paid",IF(AND(E89&lt;&gt;"",TODAY()&gt;E89),"Overdue",IF(G89&gt;0,"Partial","Open"))))</f>
        <v/>
      </c>
      <c r="J89">
        <f>IF(I89="Overdue",TODAY()-E89,"")</f>
        <v/>
      </c>
    </row>
    <row r="90">
      <c r="A90" s="16" t="n"/>
      <c r="B90" s="16" t="n"/>
      <c r="C90" s="15" t="n"/>
      <c r="D90" s="16" t="n"/>
      <c r="E90" s="20">
        <f>IF(OR(C90="",D90=""),"",C90+D90)</f>
        <v/>
      </c>
      <c r="F90" s="18" t="n"/>
      <c r="G90" s="6">
        <f>IF(A90="","",SUMIFS(Income!$E$5:$E$504,Income!$C$5:$C$504,A90))</f>
        <v/>
      </c>
      <c r="H90" s="6">
        <f>IF(OR(A90="",F90=""),"",F90-G90)</f>
        <v/>
      </c>
      <c r="I90">
        <f>IF(OR(A90="",F90=""),"",IF(H90&lt;=0.004,"Paid",IF(AND(E90&lt;&gt;"",TODAY()&gt;E90),"Overdue",IF(G90&gt;0,"Partial","Open"))))</f>
        <v/>
      </c>
      <c r="J90">
        <f>IF(I90="Overdue",TODAY()-E90,"")</f>
        <v/>
      </c>
    </row>
    <row r="91">
      <c r="A91" s="16" t="n"/>
      <c r="B91" s="16" t="n"/>
      <c r="C91" s="15" t="n"/>
      <c r="D91" s="16" t="n"/>
      <c r="E91" s="20">
        <f>IF(OR(C91="",D91=""),"",C91+D91)</f>
        <v/>
      </c>
      <c r="F91" s="18" t="n"/>
      <c r="G91" s="6">
        <f>IF(A91="","",SUMIFS(Income!$E$5:$E$504,Income!$C$5:$C$504,A91))</f>
        <v/>
      </c>
      <c r="H91" s="6">
        <f>IF(OR(A91="",F91=""),"",F91-G91)</f>
        <v/>
      </c>
      <c r="I91">
        <f>IF(OR(A91="",F91=""),"",IF(H91&lt;=0.004,"Paid",IF(AND(E91&lt;&gt;"",TODAY()&gt;E91),"Overdue",IF(G91&gt;0,"Partial","Open"))))</f>
        <v/>
      </c>
      <c r="J91">
        <f>IF(I91="Overdue",TODAY()-E91,"")</f>
        <v/>
      </c>
    </row>
    <row r="92">
      <c r="A92" s="16" t="n"/>
      <c r="B92" s="16" t="n"/>
      <c r="C92" s="15" t="n"/>
      <c r="D92" s="16" t="n"/>
      <c r="E92" s="20">
        <f>IF(OR(C92="",D92=""),"",C92+D92)</f>
        <v/>
      </c>
      <c r="F92" s="18" t="n"/>
      <c r="G92" s="6">
        <f>IF(A92="","",SUMIFS(Income!$E$5:$E$504,Income!$C$5:$C$504,A92))</f>
        <v/>
      </c>
      <c r="H92" s="6">
        <f>IF(OR(A92="",F92=""),"",F92-G92)</f>
        <v/>
      </c>
      <c r="I92">
        <f>IF(OR(A92="",F92=""),"",IF(H92&lt;=0.004,"Paid",IF(AND(E92&lt;&gt;"",TODAY()&gt;E92),"Overdue",IF(G92&gt;0,"Partial","Open"))))</f>
        <v/>
      </c>
      <c r="J92">
        <f>IF(I92="Overdue",TODAY()-E92,"")</f>
        <v/>
      </c>
    </row>
    <row r="93">
      <c r="A93" s="16" t="n"/>
      <c r="B93" s="16" t="n"/>
      <c r="C93" s="15" t="n"/>
      <c r="D93" s="16" t="n"/>
      <c r="E93" s="20">
        <f>IF(OR(C93="",D93=""),"",C93+D93)</f>
        <v/>
      </c>
      <c r="F93" s="18" t="n"/>
      <c r="G93" s="6">
        <f>IF(A93="","",SUMIFS(Income!$E$5:$E$504,Income!$C$5:$C$504,A93))</f>
        <v/>
      </c>
      <c r="H93" s="6">
        <f>IF(OR(A93="",F93=""),"",F93-G93)</f>
        <v/>
      </c>
      <c r="I93">
        <f>IF(OR(A93="",F93=""),"",IF(H93&lt;=0.004,"Paid",IF(AND(E93&lt;&gt;"",TODAY()&gt;E93),"Overdue",IF(G93&gt;0,"Partial","Open"))))</f>
        <v/>
      </c>
      <c r="J93">
        <f>IF(I93="Overdue",TODAY()-E93,"")</f>
        <v/>
      </c>
    </row>
    <row r="94">
      <c r="A94" s="16" t="n"/>
      <c r="B94" s="16" t="n"/>
      <c r="C94" s="15" t="n"/>
      <c r="D94" s="16" t="n"/>
      <c r="E94" s="20">
        <f>IF(OR(C94="",D94=""),"",C94+D94)</f>
        <v/>
      </c>
      <c r="F94" s="18" t="n"/>
      <c r="G94" s="6">
        <f>IF(A94="","",SUMIFS(Income!$E$5:$E$504,Income!$C$5:$C$504,A94))</f>
        <v/>
      </c>
      <c r="H94" s="6">
        <f>IF(OR(A94="",F94=""),"",F94-G94)</f>
        <v/>
      </c>
      <c r="I94">
        <f>IF(OR(A94="",F94=""),"",IF(H94&lt;=0.004,"Paid",IF(AND(E94&lt;&gt;"",TODAY()&gt;E94),"Overdue",IF(G94&gt;0,"Partial","Open"))))</f>
        <v/>
      </c>
      <c r="J94">
        <f>IF(I94="Overdue",TODAY()-E94,"")</f>
        <v/>
      </c>
    </row>
    <row r="95">
      <c r="A95" s="16" t="n"/>
      <c r="B95" s="16" t="n"/>
      <c r="C95" s="15" t="n"/>
      <c r="D95" s="16" t="n"/>
      <c r="E95" s="20">
        <f>IF(OR(C95="",D95=""),"",C95+D95)</f>
        <v/>
      </c>
      <c r="F95" s="18" t="n"/>
      <c r="G95" s="6">
        <f>IF(A95="","",SUMIFS(Income!$E$5:$E$504,Income!$C$5:$C$504,A95))</f>
        <v/>
      </c>
      <c r="H95" s="6">
        <f>IF(OR(A95="",F95=""),"",F95-G95)</f>
        <v/>
      </c>
      <c r="I95">
        <f>IF(OR(A95="",F95=""),"",IF(H95&lt;=0.004,"Paid",IF(AND(E95&lt;&gt;"",TODAY()&gt;E95),"Overdue",IF(G95&gt;0,"Partial","Open"))))</f>
        <v/>
      </c>
      <c r="J95">
        <f>IF(I95="Overdue",TODAY()-E95,"")</f>
        <v/>
      </c>
    </row>
    <row r="96">
      <c r="A96" s="16" t="n"/>
      <c r="B96" s="16" t="n"/>
      <c r="C96" s="15" t="n"/>
      <c r="D96" s="16" t="n"/>
      <c r="E96" s="20">
        <f>IF(OR(C96="",D96=""),"",C96+D96)</f>
        <v/>
      </c>
      <c r="F96" s="18" t="n"/>
      <c r="G96" s="6">
        <f>IF(A96="","",SUMIFS(Income!$E$5:$E$504,Income!$C$5:$C$504,A96))</f>
        <v/>
      </c>
      <c r="H96" s="6">
        <f>IF(OR(A96="",F96=""),"",F96-G96)</f>
        <v/>
      </c>
      <c r="I96">
        <f>IF(OR(A96="",F96=""),"",IF(H96&lt;=0.004,"Paid",IF(AND(E96&lt;&gt;"",TODAY()&gt;E96),"Overdue",IF(G96&gt;0,"Partial","Open"))))</f>
        <v/>
      </c>
      <c r="J96">
        <f>IF(I96="Overdue",TODAY()-E96,"")</f>
        <v/>
      </c>
    </row>
    <row r="97">
      <c r="A97" s="16" t="n"/>
      <c r="B97" s="16" t="n"/>
      <c r="C97" s="15" t="n"/>
      <c r="D97" s="16" t="n"/>
      <c r="E97" s="20">
        <f>IF(OR(C97="",D97=""),"",C97+D97)</f>
        <v/>
      </c>
      <c r="F97" s="18" t="n"/>
      <c r="G97" s="6">
        <f>IF(A97="","",SUMIFS(Income!$E$5:$E$504,Income!$C$5:$C$504,A97))</f>
        <v/>
      </c>
      <c r="H97" s="6">
        <f>IF(OR(A97="",F97=""),"",F97-G97)</f>
        <v/>
      </c>
      <c r="I97">
        <f>IF(OR(A97="",F97=""),"",IF(H97&lt;=0.004,"Paid",IF(AND(E97&lt;&gt;"",TODAY()&gt;E97),"Overdue",IF(G97&gt;0,"Partial","Open"))))</f>
        <v/>
      </c>
      <c r="J97">
        <f>IF(I97="Overdue",TODAY()-E97,"")</f>
        <v/>
      </c>
    </row>
    <row r="98">
      <c r="A98" s="16" t="n"/>
      <c r="B98" s="16" t="n"/>
      <c r="C98" s="15" t="n"/>
      <c r="D98" s="16" t="n"/>
      <c r="E98" s="20">
        <f>IF(OR(C98="",D98=""),"",C98+D98)</f>
        <v/>
      </c>
      <c r="F98" s="18" t="n"/>
      <c r="G98" s="6">
        <f>IF(A98="","",SUMIFS(Income!$E$5:$E$504,Income!$C$5:$C$504,A98))</f>
        <v/>
      </c>
      <c r="H98" s="6">
        <f>IF(OR(A98="",F98=""),"",F98-G98)</f>
        <v/>
      </c>
      <c r="I98">
        <f>IF(OR(A98="",F98=""),"",IF(H98&lt;=0.004,"Paid",IF(AND(E98&lt;&gt;"",TODAY()&gt;E98),"Overdue",IF(G98&gt;0,"Partial","Open"))))</f>
        <v/>
      </c>
      <c r="J98">
        <f>IF(I98="Overdue",TODAY()-E98,"")</f>
        <v/>
      </c>
    </row>
    <row r="99">
      <c r="A99" s="16" t="n"/>
      <c r="B99" s="16" t="n"/>
      <c r="C99" s="15" t="n"/>
      <c r="D99" s="16" t="n"/>
      <c r="E99" s="20">
        <f>IF(OR(C99="",D99=""),"",C99+D99)</f>
        <v/>
      </c>
      <c r="F99" s="18" t="n"/>
      <c r="G99" s="6">
        <f>IF(A99="","",SUMIFS(Income!$E$5:$E$504,Income!$C$5:$C$504,A99))</f>
        <v/>
      </c>
      <c r="H99" s="6">
        <f>IF(OR(A99="",F99=""),"",F99-G99)</f>
        <v/>
      </c>
      <c r="I99">
        <f>IF(OR(A99="",F99=""),"",IF(H99&lt;=0.004,"Paid",IF(AND(E99&lt;&gt;"",TODAY()&gt;E99),"Overdue",IF(G99&gt;0,"Partial","Open"))))</f>
        <v/>
      </c>
      <c r="J99">
        <f>IF(I99="Overdue",TODAY()-E99,"")</f>
        <v/>
      </c>
    </row>
    <row r="100">
      <c r="A100" s="16" t="n"/>
      <c r="B100" s="16" t="n"/>
      <c r="C100" s="15" t="n"/>
      <c r="D100" s="16" t="n"/>
      <c r="E100" s="20">
        <f>IF(OR(C100="",D100=""),"",C100+D100)</f>
        <v/>
      </c>
      <c r="F100" s="18" t="n"/>
      <c r="G100" s="6">
        <f>IF(A100="","",SUMIFS(Income!$E$5:$E$504,Income!$C$5:$C$504,A100))</f>
        <v/>
      </c>
      <c r="H100" s="6">
        <f>IF(OR(A100="",F100=""),"",F100-G100)</f>
        <v/>
      </c>
      <c r="I100">
        <f>IF(OR(A100="",F100=""),"",IF(H100&lt;=0.004,"Paid",IF(AND(E100&lt;&gt;"",TODAY()&gt;E100),"Overdue",IF(G100&gt;0,"Partial","Open"))))</f>
        <v/>
      </c>
      <c r="J100">
        <f>IF(I100="Overdue",TODAY()-E100,"")</f>
        <v/>
      </c>
    </row>
    <row r="101">
      <c r="A101" s="16" t="n"/>
      <c r="B101" s="16" t="n"/>
      <c r="C101" s="15" t="n"/>
      <c r="D101" s="16" t="n"/>
      <c r="E101" s="20">
        <f>IF(OR(C101="",D101=""),"",C101+D101)</f>
        <v/>
      </c>
      <c r="F101" s="18" t="n"/>
      <c r="G101" s="6">
        <f>IF(A101="","",SUMIFS(Income!$E$5:$E$504,Income!$C$5:$C$504,A101))</f>
        <v/>
      </c>
      <c r="H101" s="6">
        <f>IF(OR(A101="",F101=""),"",F101-G101)</f>
        <v/>
      </c>
      <c r="I101">
        <f>IF(OR(A101="",F101=""),"",IF(H101&lt;=0.004,"Paid",IF(AND(E101&lt;&gt;"",TODAY()&gt;E101),"Overdue",IF(G101&gt;0,"Partial","Open"))))</f>
        <v/>
      </c>
      <c r="J101">
        <f>IF(I101="Overdue",TODAY()-E101,"")</f>
        <v/>
      </c>
    </row>
    <row r="102">
      <c r="A102" s="16" t="n"/>
      <c r="B102" s="16" t="n"/>
      <c r="C102" s="15" t="n"/>
      <c r="D102" s="16" t="n"/>
      <c r="E102" s="20">
        <f>IF(OR(C102="",D102=""),"",C102+D102)</f>
        <v/>
      </c>
      <c r="F102" s="18" t="n"/>
      <c r="G102" s="6">
        <f>IF(A102="","",SUMIFS(Income!$E$5:$E$504,Income!$C$5:$C$504,A102))</f>
        <v/>
      </c>
      <c r="H102" s="6">
        <f>IF(OR(A102="",F102=""),"",F102-G102)</f>
        <v/>
      </c>
      <c r="I102">
        <f>IF(OR(A102="",F102=""),"",IF(H102&lt;=0.004,"Paid",IF(AND(E102&lt;&gt;"",TODAY()&gt;E102),"Overdue",IF(G102&gt;0,"Partial","Open"))))</f>
        <v/>
      </c>
      <c r="J102">
        <f>IF(I102="Overdue",TODAY()-E102,"")</f>
        <v/>
      </c>
    </row>
    <row r="103">
      <c r="A103" s="16" t="n"/>
      <c r="B103" s="16" t="n"/>
      <c r="C103" s="15" t="n"/>
      <c r="D103" s="16" t="n"/>
      <c r="E103" s="20">
        <f>IF(OR(C103="",D103=""),"",C103+D103)</f>
        <v/>
      </c>
      <c r="F103" s="18" t="n"/>
      <c r="G103" s="6">
        <f>IF(A103="","",SUMIFS(Income!$E$5:$E$504,Income!$C$5:$C$504,A103))</f>
        <v/>
      </c>
      <c r="H103" s="6">
        <f>IF(OR(A103="",F103=""),"",F103-G103)</f>
        <v/>
      </c>
      <c r="I103">
        <f>IF(OR(A103="",F103=""),"",IF(H103&lt;=0.004,"Paid",IF(AND(E103&lt;&gt;"",TODAY()&gt;E103),"Overdue",IF(G103&gt;0,"Partial","Open"))))</f>
        <v/>
      </c>
      <c r="J103">
        <f>IF(I103="Overdue",TODAY()-E103,"")</f>
        <v/>
      </c>
    </row>
    <row r="104">
      <c r="A104" s="16" t="n"/>
      <c r="B104" s="16" t="n"/>
      <c r="C104" s="15" t="n"/>
      <c r="D104" s="16" t="n"/>
      <c r="E104" s="20">
        <f>IF(OR(C104="",D104=""),"",C104+D104)</f>
        <v/>
      </c>
      <c r="F104" s="18" t="n"/>
      <c r="G104" s="6">
        <f>IF(A104="","",SUMIFS(Income!$E$5:$E$504,Income!$C$5:$C$504,A104))</f>
        <v/>
      </c>
      <c r="H104" s="6">
        <f>IF(OR(A104="",F104=""),"",F104-G104)</f>
        <v/>
      </c>
      <c r="I104">
        <f>IF(OR(A104="",F104=""),"",IF(H104&lt;=0.004,"Paid",IF(AND(E104&lt;&gt;"",TODAY()&gt;E104),"Overdue",IF(G104&gt;0,"Partial","Open"))))</f>
        <v/>
      </c>
      <c r="J104">
        <f>IF(I104="Overdue",TODAY()-E104,"")</f>
        <v/>
      </c>
    </row>
    <row r="105">
      <c r="A105" s="16" t="n"/>
      <c r="B105" s="16" t="n"/>
      <c r="C105" s="15" t="n"/>
      <c r="D105" s="16" t="n"/>
      <c r="E105" s="20">
        <f>IF(OR(C105="",D105=""),"",C105+D105)</f>
        <v/>
      </c>
      <c r="F105" s="18" t="n"/>
      <c r="G105" s="6">
        <f>IF(A105="","",SUMIFS(Income!$E$5:$E$504,Income!$C$5:$C$504,A105))</f>
        <v/>
      </c>
      <c r="H105" s="6">
        <f>IF(OR(A105="",F105=""),"",F105-G105)</f>
        <v/>
      </c>
      <c r="I105">
        <f>IF(OR(A105="",F105=""),"",IF(H105&lt;=0.004,"Paid",IF(AND(E105&lt;&gt;"",TODAY()&gt;E105),"Overdue",IF(G105&gt;0,"Partial","Open"))))</f>
        <v/>
      </c>
      <c r="J105">
        <f>IF(I105="Overdue",TODAY()-E105,"")</f>
        <v/>
      </c>
    </row>
    <row r="106">
      <c r="A106" s="16" t="n"/>
      <c r="B106" s="16" t="n"/>
      <c r="C106" s="15" t="n"/>
      <c r="D106" s="16" t="n"/>
      <c r="E106" s="20">
        <f>IF(OR(C106="",D106=""),"",C106+D106)</f>
        <v/>
      </c>
      <c r="F106" s="18" t="n"/>
      <c r="G106" s="6">
        <f>IF(A106="","",SUMIFS(Income!$E$5:$E$504,Income!$C$5:$C$504,A106))</f>
        <v/>
      </c>
      <c r="H106" s="6">
        <f>IF(OR(A106="",F106=""),"",F106-G106)</f>
        <v/>
      </c>
      <c r="I106">
        <f>IF(OR(A106="",F106=""),"",IF(H106&lt;=0.004,"Paid",IF(AND(E106&lt;&gt;"",TODAY()&gt;E106),"Overdue",IF(G106&gt;0,"Partial","Open"))))</f>
        <v/>
      </c>
      <c r="J106">
        <f>IF(I106="Overdue",TODAY()-E106,"")</f>
        <v/>
      </c>
    </row>
    <row r="107">
      <c r="A107" s="16" t="n"/>
      <c r="B107" s="16" t="n"/>
      <c r="C107" s="15" t="n"/>
      <c r="D107" s="16" t="n"/>
      <c r="E107" s="20">
        <f>IF(OR(C107="",D107=""),"",C107+D107)</f>
        <v/>
      </c>
      <c r="F107" s="18" t="n"/>
      <c r="G107" s="6">
        <f>IF(A107="","",SUMIFS(Income!$E$5:$E$504,Income!$C$5:$C$504,A107))</f>
        <v/>
      </c>
      <c r="H107" s="6">
        <f>IF(OR(A107="",F107=""),"",F107-G107)</f>
        <v/>
      </c>
      <c r="I107">
        <f>IF(OR(A107="",F107=""),"",IF(H107&lt;=0.004,"Paid",IF(AND(E107&lt;&gt;"",TODAY()&gt;E107),"Overdue",IF(G107&gt;0,"Partial","Open"))))</f>
        <v/>
      </c>
      <c r="J107">
        <f>IF(I107="Overdue",TODAY()-E107,"")</f>
        <v/>
      </c>
    </row>
    <row r="108">
      <c r="A108" s="16" t="n"/>
      <c r="B108" s="16" t="n"/>
      <c r="C108" s="15" t="n"/>
      <c r="D108" s="16" t="n"/>
      <c r="E108" s="20">
        <f>IF(OR(C108="",D108=""),"",C108+D108)</f>
        <v/>
      </c>
      <c r="F108" s="18" t="n"/>
      <c r="G108" s="6">
        <f>IF(A108="","",SUMIFS(Income!$E$5:$E$504,Income!$C$5:$C$504,A108))</f>
        <v/>
      </c>
      <c r="H108" s="6">
        <f>IF(OR(A108="",F108=""),"",F108-G108)</f>
        <v/>
      </c>
      <c r="I108">
        <f>IF(OR(A108="",F108=""),"",IF(H108&lt;=0.004,"Paid",IF(AND(E108&lt;&gt;"",TODAY()&gt;E108),"Overdue",IF(G108&gt;0,"Partial","Open"))))</f>
        <v/>
      </c>
      <c r="J108">
        <f>IF(I108="Overdue",TODAY()-E108,"")</f>
        <v/>
      </c>
    </row>
    <row r="109">
      <c r="A109" s="16" t="n"/>
      <c r="B109" s="16" t="n"/>
      <c r="C109" s="15" t="n"/>
      <c r="D109" s="16" t="n"/>
      <c r="E109" s="20">
        <f>IF(OR(C109="",D109=""),"",C109+D109)</f>
        <v/>
      </c>
      <c r="F109" s="18" t="n"/>
      <c r="G109" s="6">
        <f>IF(A109="","",SUMIFS(Income!$E$5:$E$504,Income!$C$5:$C$504,A109))</f>
        <v/>
      </c>
      <c r="H109" s="6">
        <f>IF(OR(A109="",F109=""),"",F109-G109)</f>
        <v/>
      </c>
      <c r="I109">
        <f>IF(OR(A109="",F109=""),"",IF(H109&lt;=0.004,"Paid",IF(AND(E109&lt;&gt;"",TODAY()&gt;E109),"Overdue",IF(G109&gt;0,"Partial","Open"))))</f>
        <v/>
      </c>
      <c r="J109">
        <f>IF(I109="Overdue",TODAY()-E109,"")</f>
        <v/>
      </c>
    </row>
    <row r="110">
      <c r="A110" s="16" t="n"/>
      <c r="B110" s="16" t="n"/>
      <c r="C110" s="15" t="n"/>
      <c r="D110" s="16" t="n"/>
      <c r="E110" s="20">
        <f>IF(OR(C110="",D110=""),"",C110+D110)</f>
        <v/>
      </c>
      <c r="F110" s="18" t="n"/>
      <c r="G110" s="6">
        <f>IF(A110="","",SUMIFS(Income!$E$5:$E$504,Income!$C$5:$C$504,A110))</f>
        <v/>
      </c>
      <c r="H110" s="6">
        <f>IF(OR(A110="",F110=""),"",F110-G110)</f>
        <v/>
      </c>
      <c r="I110">
        <f>IF(OR(A110="",F110=""),"",IF(H110&lt;=0.004,"Paid",IF(AND(E110&lt;&gt;"",TODAY()&gt;E110),"Overdue",IF(G110&gt;0,"Partial","Open"))))</f>
        <v/>
      </c>
      <c r="J110">
        <f>IF(I110="Overdue",TODAY()-E110,"")</f>
        <v/>
      </c>
    </row>
    <row r="111">
      <c r="A111" s="16" t="n"/>
      <c r="B111" s="16" t="n"/>
      <c r="C111" s="15" t="n"/>
      <c r="D111" s="16" t="n"/>
      <c r="E111" s="20">
        <f>IF(OR(C111="",D111=""),"",C111+D111)</f>
        <v/>
      </c>
      <c r="F111" s="18" t="n"/>
      <c r="G111" s="6">
        <f>IF(A111="","",SUMIFS(Income!$E$5:$E$504,Income!$C$5:$C$504,A111))</f>
        <v/>
      </c>
      <c r="H111" s="6">
        <f>IF(OR(A111="",F111=""),"",F111-G111)</f>
        <v/>
      </c>
      <c r="I111">
        <f>IF(OR(A111="",F111=""),"",IF(H111&lt;=0.004,"Paid",IF(AND(E111&lt;&gt;"",TODAY()&gt;E111),"Overdue",IF(G111&gt;0,"Partial","Open"))))</f>
        <v/>
      </c>
      <c r="J111">
        <f>IF(I111="Overdue",TODAY()-E111,"")</f>
        <v/>
      </c>
    </row>
    <row r="112">
      <c r="A112" s="16" t="n"/>
      <c r="B112" s="16" t="n"/>
      <c r="C112" s="15" t="n"/>
      <c r="D112" s="16" t="n"/>
      <c r="E112" s="20">
        <f>IF(OR(C112="",D112=""),"",C112+D112)</f>
        <v/>
      </c>
      <c r="F112" s="18" t="n"/>
      <c r="G112" s="6">
        <f>IF(A112="","",SUMIFS(Income!$E$5:$E$504,Income!$C$5:$C$504,A112))</f>
        <v/>
      </c>
      <c r="H112" s="6">
        <f>IF(OR(A112="",F112=""),"",F112-G112)</f>
        <v/>
      </c>
      <c r="I112">
        <f>IF(OR(A112="",F112=""),"",IF(H112&lt;=0.004,"Paid",IF(AND(E112&lt;&gt;"",TODAY()&gt;E112),"Overdue",IF(G112&gt;0,"Partial","Open"))))</f>
        <v/>
      </c>
      <c r="J112">
        <f>IF(I112="Overdue",TODAY()-E112,"")</f>
        <v/>
      </c>
    </row>
    <row r="113">
      <c r="A113" s="16" t="n"/>
      <c r="B113" s="16" t="n"/>
      <c r="C113" s="15" t="n"/>
      <c r="D113" s="16" t="n"/>
      <c r="E113" s="20">
        <f>IF(OR(C113="",D113=""),"",C113+D113)</f>
        <v/>
      </c>
      <c r="F113" s="18" t="n"/>
      <c r="G113" s="6">
        <f>IF(A113="","",SUMIFS(Income!$E$5:$E$504,Income!$C$5:$C$504,A113))</f>
        <v/>
      </c>
      <c r="H113" s="6">
        <f>IF(OR(A113="",F113=""),"",F113-G113)</f>
        <v/>
      </c>
      <c r="I113">
        <f>IF(OR(A113="",F113=""),"",IF(H113&lt;=0.004,"Paid",IF(AND(E113&lt;&gt;"",TODAY()&gt;E113),"Overdue",IF(G113&gt;0,"Partial","Open"))))</f>
        <v/>
      </c>
      <c r="J113">
        <f>IF(I113="Overdue",TODAY()-E113,"")</f>
        <v/>
      </c>
    </row>
    <row r="114">
      <c r="A114" s="16" t="n"/>
      <c r="B114" s="16" t="n"/>
      <c r="C114" s="15" t="n"/>
      <c r="D114" s="16" t="n"/>
      <c r="E114" s="20">
        <f>IF(OR(C114="",D114=""),"",C114+D114)</f>
        <v/>
      </c>
      <c r="F114" s="18" t="n"/>
      <c r="G114" s="6">
        <f>IF(A114="","",SUMIFS(Income!$E$5:$E$504,Income!$C$5:$C$504,A114))</f>
        <v/>
      </c>
      <c r="H114" s="6">
        <f>IF(OR(A114="",F114=""),"",F114-G114)</f>
        <v/>
      </c>
      <c r="I114">
        <f>IF(OR(A114="",F114=""),"",IF(H114&lt;=0.004,"Paid",IF(AND(E114&lt;&gt;"",TODAY()&gt;E114),"Overdue",IF(G114&gt;0,"Partial","Open"))))</f>
        <v/>
      </c>
      <c r="J114">
        <f>IF(I114="Overdue",TODAY()-E114,"")</f>
        <v/>
      </c>
    </row>
    <row r="115">
      <c r="A115" s="16" t="n"/>
      <c r="B115" s="16" t="n"/>
      <c r="C115" s="15" t="n"/>
      <c r="D115" s="16" t="n"/>
      <c r="E115" s="20">
        <f>IF(OR(C115="",D115=""),"",C115+D115)</f>
        <v/>
      </c>
      <c r="F115" s="18" t="n"/>
      <c r="G115" s="6">
        <f>IF(A115="","",SUMIFS(Income!$E$5:$E$504,Income!$C$5:$C$504,A115))</f>
        <v/>
      </c>
      <c r="H115" s="6">
        <f>IF(OR(A115="",F115=""),"",F115-G115)</f>
        <v/>
      </c>
      <c r="I115">
        <f>IF(OR(A115="",F115=""),"",IF(H115&lt;=0.004,"Paid",IF(AND(E115&lt;&gt;"",TODAY()&gt;E115),"Overdue",IF(G115&gt;0,"Partial","Open"))))</f>
        <v/>
      </c>
      <c r="J115">
        <f>IF(I115="Overdue",TODAY()-E115,"")</f>
        <v/>
      </c>
    </row>
    <row r="116">
      <c r="A116" s="16" t="n"/>
      <c r="B116" s="16" t="n"/>
      <c r="C116" s="15" t="n"/>
      <c r="D116" s="16" t="n"/>
      <c r="E116" s="20">
        <f>IF(OR(C116="",D116=""),"",C116+D116)</f>
        <v/>
      </c>
      <c r="F116" s="18" t="n"/>
      <c r="G116" s="6">
        <f>IF(A116="","",SUMIFS(Income!$E$5:$E$504,Income!$C$5:$C$504,A116))</f>
        <v/>
      </c>
      <c r="H116" s="6">
        <f>IF(OR(A116="",F116=""),"",F116-G116)</f>
        <v/>
      </c>
      <c r="I116">
        <f>IF(OR(A116="",F116=""),"",IF(H116&lt;=0.004,"Paid",IF(AND(E116&lt;&gt;"",TODAY()&gt;E116),"Overdue",IF(G116&gt;0,"Partial","Open"))))</f>
        <v/>
      </c>
      <c r="J116">
        <f>IF(I116="Overdue",TODAY()-E116,"")</f>
        <v/>
      </c>
    </row>
    <row r="117">
      <c r="A117" s="16" t="n"/>
      <c r="B117" s="16" t="n"/>
      <c r="C117" s="15" t="n"/>
      <c r="D117" s="16" t="n"/>
      <c r="E117" s="20">
        <f>IF(OR(C117="",D117=""),"",C117+D117)</f>
        <v/>
      </c>
      <c r="F117" s="18" t="n"/>
      <c r="G117" s="6">
        <f>IF(A117="","",SUMIFS(Income!$E$5:$E$504,Income!$C$5:$C$504,A117))</f>
        <v/>
      </c>
      <c r="H117" s="6">
        <f>IF(OR(A117="",F117=""),"",F117-G117)</f>
        <v/>
      </c>
      <c r="I117">
        <f>IF(OR(A117="",F117=""),"",IF(H117&lt;=0.004,"Paid",IF(AND(E117&lt;&gt;"",TODAY()&gt;E117),"Overdue",IF(G117&gt;0,"Partial","Open"))))</f>
        <v/>
      </c>
      <c r="J117">
        <f>IF(I117="Overdue",TODAY()-E117,"")</f>
        <v/>
      </c>
    </row>
    <row r="118">
      <c r="A118" s="16" t="n"/>
      <c r="B118" s="16" t="n"/>
      <c r="C118" s="15" t="n"/>
      <c r="D118" s="16" t="n"/>
      <c r="E118" s="20">
        <f>IF(OR(C118="",D118=""),"",C118+D118)</f>
        <v/>
      </c>
      <c r="F118" s="18" t="n"/>
      <c r="G118" s="6">
        <f>IF(A118="","",SUMIFS(Income!$E$5:$E$504,Income!$C$5:$C$504,A118))</f>
        <v/>
      </c>
      <c r="H118" s="6">
        <f>IF(OR(A118="",F118=""),"",F118-G118)</f>
        <v/>
      </c>
      <c r="I118">
        <f>IF(OR(A118="",F118=""),"",IF(H118&lt;=0.004,"Paid",IF(AND(E118&lt;&gt;"",TODAY()&gt;E118),"Overdue",IF(G118&gt;0,"Partial","Open"))))</f>
        <v/>
      </c>
      <c r="J118">
        <f>IF(I118="Overdue",TODAY()-E118,"")</f>
        <v/>
      </c>
    </row>
    <row r="119">
      <c r="A119" s="16" t="n"/>
      <c r="B119" s="16" t="n"/>
      <c r="C119" s="15" t="n"/>
      <c r="D119" s="16" t="n"/>
      <c r="E119" s="20">
        <f>IF(OR(C119="",D119=""),"",C119+D119)</f>
        <v/>
      </c>
      <c r="F119" s="18" t="n"/>
      <c r="G119" s="6">
        <f>IF(A119="","",SUMIFS(Income!$E$5:$E$504,Income!$C$5:$C$504,A119))</f>
        <v/>
      </c>
      <c r="H119" s="6">
        <f>IF(OR(A119="",F119=""),"",F119-G119)</f>
        <v/>
      </c>
      <c r="I119">
        <f>IF(OR(A119="",F119=""),"",IF(H119&lt;=0.004,"Paid",IF(AND(E119&lt;&gt;"",TODAY()&gt;E119),"Overdue",IF(G119&gt;0,"Partial","Open"))))</f>
        <v/>
      </c>
      <c r="J119">
        <f>IF(I119="Overdue",TODAY()-E119,"")</f>
        <v/>
      </c>
    </row>
    <row r="120">
      <c r="A120" s="16" t="n"/>
      <c r="B120" s="16" t="n"/>
      <c r="C120" s="15" t="n"/>
      <c r="D120" s="16" t="n"/>
      <c r="E120" s="20">
        <f>IF(OR(C120="",D120=""),"",C120+D120)</f>
        <v/>
      </c>
      <c r="F120" s="18" t="n"/>
      <c r="G120" s="6">
        <f>IF(A120="","",SUMIFS(Income!$E$5:$E$504,Income!$C$5:$C$504,A120))</f>
        <v/>
      </c>
      <c r="H120" s="6">
        <f>IF(OR(A120="",F120=""),"",F120-G120)</f>
        <v/>
      </c>
      <c r="I120">
        <f>IF(OR(A120="",F120=""),"",IF(H120&lt;=0.004,"Paid",IF(AND(E120&lt;&gt;"",TODAY()&gt;E120),"Overdue",IF(G120&gt;0,"Partial","Open"))))</f>
        <v/>
      </c>
      <c r="J120">
        <f>IF(I120="Overdue",TODAY()-E120,"")</f>
        <v/>
      </c>
    </row>
    <row r="121">
      <c r="A121" s="16" t="n"/>
      <c r="B121" s="16" t="n"/>
      <c r="C121" s="15" t="n"/>
      <c r="D121" s="16" t="n"/>
      <c r="E121" s="20">
        <f>IF(OR(C121="",D121=""),"",C121+D121)</f>
        <v/>
      </c>
      <c r="F121" s="18" t="n"/>
      <c r="G121" s="6">
        <f>IF(A121="","",SUMIFS(Income!$E$5:$E$504,Income!$C$5:$C$504,A121))</f>
        <v/>
      </c>
      <c r="H121" s="6">
        <f>IF(OR(A121="",F121=""),"",F121-G121)</f>
        <v/>
      </c>
      <c r="I121">
        <f>IF(OR(A121="",F121=""),"",IF(H121&lt;=0.004,"Paid",IF(AND(E121&lt;&gt;"",TODAY()&gt;E121),"Overdue",IF(G121&gt;0,"Partial","Open"))))</f>
        <v/>
      </c>
      <c r="J121">
        <f>IF(I121="Overdue",TODAY()-E121,"")</f>
        <v/>
      </c>
    </row>
    <row r="122">
      <c r="A122" s="16" t="n"/>
      <c r="B122" s="16" t="n"/>
      <c r="C122" s="15" t="n"/>
      <c r="D122" s="16" t="n"/>
      <c r="E122" s="20">
        <f>IF(OR(C122="",D122=""),"",C122+D122)</f>
        <v/>
      </c>
      <c r="F122" s="18" t="n"/>
      <c r="G122" s="6">
        <f>IF(A122="","",SUMIFS(Income!$E$5:$E$504,Income!$C$5:$C$504,A122))</f>
        <v/>
      </c>
      <c r="H122" s="6">
        <f>IF(OR(A122="",F122=""),"",F122-G122)</f>
        <v/>
      </c>
      <c r="I122">
        <f>IF(OR(A122="",F122=""),"",IF(H122&lt;=0.004,"Paid",IF(AND(E122&lt;&gt;"",TODAY()&gt;E122),"Overdue",IF(G122&gt;0,"Partial","Open"))))</f>
        <v/>
      </c>
      <c r="J122">
        <f>IF(I122="Overdue",TODAY()-E122,"")</f>
        <v/>
      </c>
    </row>
    <row r="123">
      <c r="A123" s="16" t="n"/>
      <c r="B123" s="16" t="n"/>
      <c r="C123" s="15" t="n"/>
      <c r="D123" s="16" t="n"/>
      <c r="E123" s="20">
        <f>IF(OR(C123="",D123=""),"",C123+D123)</f>
        <v/>
      </c>
      <c r="F123" s="18" t="n"/>
      <c r="G123" s="6">
        <f>IF(A123="","",SUMIFS(Income!$E$5:$E$504,Income!$C$5:$C$504,A123))</f>
        <v/>
      </c>
      <c r="H123" s="6">
        <f>IF(OR(A123="",F123=""),"",F123-G123)</f>
        <v/>
      </c>
      <c r="I123">
        <f>IF(OR(A123="",F123=""),"",IF(H123&lt;=0.004,"Paid",IF(AND(E123&lt;&gt;"",TODAY()&gt;E123),"Overdue",IF(G123&gt;0,"Partial","Open"))))</f>
        <v/>
      </c>
      <c r="J123">
        <f>IF(I123="Overdue",TODAY()-E123,"")</f>
        <v/>
      </c>
    </row>
    <row r="124">
      <c r="A124" s="16" t="n"/>
      <c r="B124" s="16" t="n"/>
      <c r="C124" s="15" t="n"/>
      <c r="D124" s="16" t="n"/>
      <c r="E124" s="20">
        <f>IF(OR(C124="",D124=""),"",C124+D124)</f>
        <v/>
      </c>
      <c r="F124" s="18" t="n"/>
      <c r="G124" s="6">
        <f>IF(A124="","",SUMIFS(Income!$E$5:$E$504,Income!$C$5:$C$504,A124))</f>
        <v/>
      </c>
      <c r="H124" s="6">
        <f>IF(OR(A124="",F124=""),"",F124-G124)</f>
        <v/>
      </c>
      <c r="I124">
        <f>IF(OR(A124="",F124=""),"",IF(H124&lt;=0.004,"Paid",IF(AND(E124&lt;&gt;"",TODAY()&gt;E124),"Overdue",IF(G124&gt;0,"Partial","Open"))))</f>
        <v/>
      </c>
      <c r="J124">
        <f>IF(I124="Overdue",TODAY()-E124,"")</f>
        <v/>
      </c>
    </row>
    <row r="125">
      <c r="A125" s="16" t="n"/>
      <c r="B125" s="16" t="n"/>
      <c r="C125" s="15" t="n"/>
      <c r="D125" s="16" t="n"/>
      <c r="E125" s="20">
        <f>IF(OR(C125="",D125=""),"",C125+D125)</f>
        <v/>
      </c>
      <c r="F125" s="18" t="n"/>
      <c r="G125" s="6">
        <f>IF(A125="","",SUMIFS(Income!$E$5:$E$504,Income!$C$5:$C$504,A125))</f>
        <v/>
      </c>
      <c r="H125" s="6">
        <f>IF(OR(A125="",F125=""),"",F125-G125)</f>
        <v/>
      </c>
      <c r="I125">
        <f>IF(OR(A125="",F125=""),"",IF(H125&lt;=0.004,"Paid",IF(AND(E125&lt;&gt;"",TODAY()&gt;E125),"Overdue",IF(G125&gt;0,"Partial","Open"))))</f>
        <v/>
      </c>
      <c r="J125">
        <f>IF(I125="Overdue",TODAY()-E125,"")</f>
        <v/>
      </c>
    </row>
    <row r="126">
      <c r="A126" s="16" t="n"/>
      <c r="B126" s="16" t="n"/>
      <c r="C126" s="15" t="n"/>
      <c r="D126" s="16" t="n"/>
      <c r="E126" s="20">
        <f>IF(OR(C126="",D126=""),"",C126+D126)</f>
        <v/>
      </c>
      <c r="F126" s="18" t="n"/>
      <c r="G126" s="6">
        <f>IF(A126="","",SUMIFS(Income!$E$5:$E$504,Income!$C$5:$C$504,A126))</f>
        <v/>
      </c>
      <c r="H126" s="6">
        <f>IF(OR(A126="",F126=""),"",F126-G126)</f>
        <v/>
      </c>
      <c r="I126">
        <f>IF(OR(A126="",F126=""),"",IF(H126&lt;=0.004,"Paid",IF(AND(E126&lt;&gt;"",TODAY()&gt;E126),"Overdue",IF(G126&gt;0,"Partial","Open"))))</f>
        <v/>
      </c>
      <c r="J126">
        <f>IF(I126="Overdue",TODAY()-E126,"")</f>
        <v/>
      </c>
    </row>
    <row r="127">
      <c r="A127" s="16" t="n"/>
      <c r="B127" s="16" t="n"/>
      <c r="C127" s="15" t="n"/>
      <c r="D127" s="16" t="n"/>
      <c r="E127" s="20">
        <f>IF(OR(C127="",D127=""),"",C127+D127)</f>
        <v/>
      </c>
      <c r="F127" s="18" t="n"/>
      <c r="G127" s="6">
        <f>IF(A127="","",SUMIFS(Income!$E$5:$E$504,Income!$C$5:$C$504,A127))</f>
        <v/>
      </c>
      <c r="H127" s="6">
        <f>IF(OR(A127="",F127=""),"",F127-G127)</f>
        <v/>
      </c>
      <c r="I127">
        <f>IF(OR(A127="",F127=""),"",IF(H127&lt;=0.004,"Paid",IF(AND(E127&lt;&gt;"",TODAY()&gt;E127),"Overdue",IF(G127&gt;0,"Partial","Open"))))</f>
        <v/>
      </c>
      <c r="J127">
        <f>IF(I127="Overdue",TODAY()-E127,"")</f>
        <v/>
      </c>
    </row>
    <row r="128">
      <c r="A128" s="16" t="n"/>
      <c r="B128" s="16" t="n"/>
      <c r="C128" s="15" t="n"/>
      <c r="D128" s="16" t="n"/>
      <c r="E128" s="20">
        <f>IF(OR(C128="",D128=""),"",C128+D128)</f>
        <v/>
      </c>
      <c r="F128" s="18" t="n"/>
      <c r="G128" s="6">
        <f>IF(A128="","",SUMIFS(Income!$E$5:$E$504,Income!$C$5:$C$504,A128))</f>
        <v/>
      </c>
      <c r="H128" s="6">
        <f>IF(OR(A128="",F128=""),"",F128-G128)</f>
        <v/>
      </c>
      <c r="I128">
        <f>IF(OR(A128="",F128=""),"",IF(H128&lt;=0.004,"Paid",IF(AND(E128&lt;&gt;"",TODAY()&gt;E128),"Overdue",IF(G128&gt;0,"Partial","Open"))))</f>
        <v/>
      </c>
      <c r="J128">
        <f>IF(I128="Overdue",TODAY()-E128,"")</f>
        <v/>
      </c>
    </row>
    <row r="129">
      <c r="A129" s="16" t="n"/>
      <c r="B129" s="16" t="n"/>
      <c r="C129" s="15" t="n"/>
      <c r="D129" s="16" t="n"/>
      <c r="E129" s="20">
        <f>IF(OR(C129="",D129=""),"",C129+D129)</f>
        <v/>
      </c>
      <c r="F129" s="18" t="n"/>
      <c r="G129" s="6">
        <f>IF(A129="","",SUMIFS(Income!$E$5:$E$504,Income!$C$5:$C$504,A129))</f>
        <v/>
      </c>
      <c r="H129" s="6">
        <f>IF(OR(A129="",F129=""),"",F129-G129)</f>
        <v/>
      </c>
      <c r="I129">
        <f>IF(OR(A129="",F129=""),"",IF(H129&lt;=0.004,"Paid",IF(AND(E129&lt;&gt;"",TODAY()&gt;E129),"Overdue",IF(G129&gt;0,"Partial","Open"))))</f>
        <v/>
      </c>
      <c r="J129">
        <f>IF(I129="Overdue",TODAY()-E129,"")</f>
        <v/>
      </c>
    </row>
    <row r="130">
      <c r="A130" s="16" t="n"/>
      <c r="B130" s="16" t="n"/>
      <c r="C130" s="15" t="n"/>
      <c r="D130" s="16" t="n"/>
      <c r="E130" s="20">
        <f>IF(OR(C130="",D130=""),"",C130+D130)</f>
        <v/>
      </c>
      <c r="F130" s="18" t="n"/>
      <c r="G130" s="6">
        <f>IF(A130="","",SUMIFS(Income!$E$5:$E$504,Income!$C$5:$C$504,A130))</f>
        <v/>
      </c>
      <c r="H130" s="6">
        <f>IF(OR(A130="",F130=""),"",F130-G130)</f>
        <v/>
      </c>
      <c r="I130">
        <f>IF(OR(A130="",F130=""),"",IF(H130&lt;=0.004,"Paid",IF(AND(E130&lt;&gt;"",TODAY()&gt;E130),"Overdue",IF(G130&gt;0,"Partial","Open"))))</f>
        <v/>
      </c>
      <c r="J130">
        <f>IF(I130="Overdue",TODAY()-E130,"")</f>
        <v/>
      </c>
    </row>
    <row r="131">
      <c r="A131" s="16" t="n"/>
      <c r="B131" s="16" t="n"/>
      <c r="C131" s="15" t="n"/>
      <c r="D131" s="16" t="n"/>
      <c r="E131" s="20">
        <f>IF(OR(C131="",D131=""),"",C131+D131)</f>
        <v/>
      </c>
      <c r="F131" s="18" t="n"/>
      <c r="G131" s="6">
        <f>IF(A131="","",SUMIFS(Income!$E$5:$E$504,Income!$C$5:$C$504,A131))</f>
        <v/>
      </c>
      <c r="H131" s="6">
        <f>IF(OR(A131="",F131=""),"",F131-G131)</f>
        <v/>
      </c>
      <c r="I131">
        <f>IF(OR(A131="",F131=""),"",IF(H131&lt;=0.004,"Paid",IF(AND(E131&lt;&gt;"",TODAY()&gt;E131),"Overdue",IF(G131&gt;0,"Partial","Open"))))</f>
        <v/>
      </c>
      <c r="J131">
        <f>IF(I131="Overdue",TODAY()-E131,"")</f>
        <v/>
      </c>
    </row>
    <row r="132">
      <c r="A132" s="16" t="n"/>
      <c r="B132" s="16" t="n"/>
      <c r="C132" s="15" t="n"/>
      <c r="D132" s="16" t="n"/>
      <c r="E132" s="20">
        <f>IF(OR(C132="",D132=""),"",C132+D132)</f>
        <v/>
      </c>
      <c r="F132" s="18" t="n"/>
      <c r="G132" s="6">
        <f>IF(A132="","",SUMIFS(Income!$E$5:$E$504,Income!$C$5:$C$504,A132))</f>
        <v/>
      </c>
      <c r="H132" s="6">
        <f>IF(OR(A132="",F132=""),"",F132-G132)</f>
        <v/>
      </c>
      <c r="I132">
        <f>IF(OR(A132="",F132=""),"",IF(H132&lt;=0.004,"Paid",IF(AND(E132&lt;&gt;"",TODAY()&gt;E132),"Overdue",IF(G132&gt;0,"Partial","Open"))))</f>
        <v/>
      </c>
      <c r="J132">
        <f>IF(I132="Overdue",TODAY()-E132,"")</f>
        <v/>
      </c>
    </row>
    <row r="133">
      <c r="A133" s="16" t="n"/>
      <c r="B133" s="16" t="n"/>
      <c r="C133" s="15" t="n"/>
      <c r="D133" s="16" t="n"/>
      <c r="E133" s="20">
        <f>IF(OR(C133="",D133=""),"",C133+D133)</f>
        <v/>
      </c>
      <c r="F133" s="18" t="n"/>
      <c r="G133" s="6">
        <f>IF(A133="","",SUMIFS(Income!$E$5:$E$504,Income!$C$5:$C$504,A133))</f>
        <v/>
      </c>
      <c r="H133" s="6">
        <f>IF(OR(A133="",F133=""),"",F133-G133)</f>
        <v/>
      </c>
      <c r="I133">
        <f>IF(OR(A133="",F133=""),"",IF(H133&lt;=0.004,"Paid",IF(AND(E133&lt;&gt;"",TODAY()&gt;E133),"Overdue",IF(G133&gt;0,"Partial","Open"))))</f>
        <v/>
      </c>
      <c r="J133">
        <f>IF(I133="Overdue",TODAY()-E133,"")</f>
        <v/>
      </c>
    </row>
    <row r="134">
      <c r="A134" s="16" t="n"/>
      <c r="B134" s="16" t="n"/>
      <c r="C134" s="15" t="n"/>
      <c r="D134" s="16" t="n"/>
      <c r="E134" s="20">
        <f>IF(OR(C134="",D134=""),"",C134+D134)</f>
        <v/>
      </c>
      <c r="F134" s="18" t="n"/>
      <c r="G134" s="6">
        <f>IF(A134="","",SUMIFS(Income!$E$5:$E$504,Income!$C$5:$C$504,A134))</f>
        <v/>
      </c>
      <c r="H134" s="6">
        <f>IF(OR(A134="",F134=""),"",F134-G134)</f>
        <v/>
      </c>
      <c r="I134">
        <f>IF(OR(A134="",F134=""),"",IF(H134&lt;=0.004,"Paid",IF(AND(E134&lt;&gt;"",TODAY()&gt;E134),"Overdue",IF(G134&gt;0,"Partial","Open"))))</f>
        <v/>
      </c>
      <c r="J134">
        <f>IF(I134="Overdue",TODAY()-E134,"")</f>
        <v/>
      </c>
    </row>
    <row r="135">
      <c r="A135" s="16" t="n"/>
      <c r="B135" s="16" t="n"/>
      <c r="C135" s="15" t="n"/>
      <c r="D135" s="16" t="n"/>
      <c r="E135" s="20">
        <f>IF(OR(C135="",D135=""),"",C135+D135)</f>
        <v/>
      </c>
      <c r="F135" s="18" t="n"/>
      <c r="G135" s="6">
        <f>IF(A135="","",SUMIFS(Income!$E$5:$E$504,Income!$C$5:$C$504,A135))</f>
        <v/>
      </c>
      <c r="H135" s="6">
        <f>IF(OR(A135="",F135=""),"",F135-G135)</f>
        <v/>
      </c>
      <c r="I135">
        <f>IF(OR(A135="",F135=""),"",IF(H135&lt;=0.004,"Paid",IF(AND(E135&lt;&gt;"",TODAY()&gt;E135),"Overdue",IF(G135&gt;0,"Partial","Open"))))</f>
        <v/>
      </c>
      <c r="J135">
        <f>IF(I135="Overdue",TODAY()-E135,"")</f>
        <v/>
      </c>
    </row>
    <row r="136">
      <c r="A136" s="16" t="n"/>
      <c r="B136" s="16" t="n"/>
      <c r="C136" s="15" t="n"/>
      <c r="D136" s="16" t="n"/>
      <c r="E136" s="20">
        <f>IF(OR(C136="",D136=""),"",C136+D136)</f>
        <v/>
      </c>
      <c r="F136" s="18" t="n"/>
      <c r="G136" s="6">
        <f>IF(A136="","",SUMIFS(Income!$E$5:$E$504,Income!$C$5:$C$504,A136))</f>
        <v/>
      </c>
      <c r="H136" s="6">
        <f>IF(OR(A136="",F136=""),"",F136-G136)</f>
        <v/>
      </c>
      <c r="I136">
        <f>IF(OR(A136="",F136=""),"",IF(H136&lt;=0.004,"Paid",IF(AND(E136&lt;&gt;"",TODAY()&gt;E136),"Overdue",IF(G136&gt;0,"Partial","Open"))))</f>
        <v/>
      </c>
      <c r="J136">
        <f>IF(I136="Overdue",TODAY()-E136,"")</f>
        <v/>
      </c>
    </row>
    <row r="137">
      <c r="A137" s="16" t="n"/>
      <c r="B137" s="16" t="n"/>
      <c r="C137" s="15" t="n"/>
      <c r="D137" s="16" t="n"/>
      <c r="E137" s="20">
        <f>IF(OR(C137="",D137=""),"",C137+D137)</f>
        <v/>
      </c>
      <c r="F137" s="18" t="n"/>
      <c r="G137" s="6">
        <f>IF(A137="","",SUMIFS(Income!$E$5:$E$504,Income!$C$5:$C$504,A137))</f>
        <v/>
      </c>
      <c r="H137" s="6">
        <f>IF(OR(A137="",F137=""),"",F137-G137)</f>
        <v/>
      </c>
      <c r="I137">
        <f>IF(OR(A137="",F137=""),"",IF(H137&lt;=0.004,"Paid",IF(AND(E137&lt;&gt;"",TODAY()&gt;E137),"Overdue",IF(G137&gt;0,"Partial","Open"))))</f>
        <v/>
      </c>
      <c r="J137">
        <f>IF(I137="Overdue",TODAY()-E137,"")</f>
        <v/>
      </c>
    </row>
    <row r="138">
      <c r="A138" s="16" t="n"/>
      <c r="B138" s="16" t="n"/>
      <c r="C138" s="15" t="n"/>
      <c r="D138" s="16" t="n"/>
      <c r="E138" s="20">
        <f>IF(OR(C138="",D138=""),"",C138+D138)</f>
        <v/>
      </c>
      <c r="F138" s="18" t="n"/>
      <c r="G138" s="6">
        <f>IF(A138="","",SUMIFS(Income!$E$5:$E$504,Income!$C$5:$C$504,A138))</f>
        <v/>
      </c>
      <c r="H138" s="6">
        <f>IF(OR(A138="",F138=""),"",F138-G138)</f>
        <v/>
      </c>
      <c r="I138">
        <f>IF(OR(A138="",F138=""),"",IF(H138&lt;=0.004,"Paid",IF(AND(E138&lt;&gt;"",TODAY()&gt;E138),"Overdue",IF(G138&gt;0,"Partial","Open"))))</f>
        <v/>
      </c>
      <c r="J138">
        <f>IF(I138="Overdue",TODAY()-E138,"")</f>
        <v/>
      </c>
    </row>
    <row r="139">
      <c r="A139" s="16" t="n"/>
      <c r="B139" s="16" t="n"/>
      <c r="C139" s="15" t="n"/>
      <c r="D139" s="16" t="n"/>
      <c r="E139" s="20">
        <f>IF(OR(C139="",D139=""),"",C139+D139)</f>
        <v/>
      </c>
      <c r="F139" s="18" t="n"/>
      <c r="G139" s="6">
        <f>IF(A139="","",SUMIFS(Income!$E$5:$E$504,Income!$C$5:$C$504,A139))</f>
        <v/>
      </c>
      <c r="H139" s="6">
        <f>IF(OR(A139="",F139=""),"",F139-G139)</f>
        <v/>
      </c>
      <c r="I139">
        <f>IF(OR(A139="",F139=""),"",IF(H139&lt;=0.004,"Paid",IF(AND(E139&lt;&gt;"",TODAY()&gt;E139),"Overdue",IF(G139&gt;0,"Partial","Open"))))</f>
        <v/>
      </c>
      <c r="J139">
        <f>IF(I139="Overdue",TODAY()-E139,"")</f>
        <v/>
      </c>
    </row>
    <row r="140">
      <c r="A140" s="16" t="n"/>
      <c r="B140" s="16" t="n"/>
      <c r="C140" s="15" t="n"/>
      <c r="D140" s="16" t="n"/>
      <c r="E140" s="20">
        <f>IF(OR(C140="",D140=""),"",C140+D140)</f>
        <v/>
      </c>
      <c r="F140" s="18" t="n"/>
      <c r="G140" s="6">
        <f>IF(A140="","",SUMIFS(Income!$E$5:$E$504,Income!$C$5:$C$504,A140))</f>
        <v/>
      </c>
      <c r="H140" s="6">
        <f>IF(OR(A140="",F140=""),"",F140-G140)</f>
        <v/>
      </c>
      <c r="I140">
        <f>IF(OR(A140="",F140=""),"",IF(H140&lt;=0.004,"Paid",IF(AND(E140&lt;&gt;"",TODAY()&gt;E140),"Overdue",IF(G140&gt;0,"Partial","Open"))))</f>
        <v/>
      </c>
      <c r="J140">
        <f>IF(I140="Overdue",TODAY()-E140,"")</f>
        <v/>
      </c>
    </row>
    <row r="141">
      <c r="A141" s="16" t="n"/>
      <c r="B141" s="16" t="n"/>
      <c r="C141" s="15" t="n"/>
      <c r="D141" s="16" t="n"/>
      <c r="E141" s="20">
        <f>IF(OR(C141="",D141=""),"",C141+D141)</f>
        <v/>
      </c>
      <c r="F141" s="18" t="n"/>
      <c r="G141" s="6">
        <f>IF(A141="","",SUMIFS(Income!$E$5:$E$504,Income!$C$5:$C$504,A141))</f>
        <v/>
      </c>
      <c r="H141" s="6">
        <f>IF(OR(A141="",F141=""),"",F141-G141)</f>
        <v/>
      </c>
      <c r="I141">
        <f>IF(OR(A141="",F141=""),"",IF(H141&lt;=0.004,"Paid",IF(AND(E141&lt;&gt;"",TODAY()&gt;E141),"Overdue",IF(G141&gt;0,"Partial","Open"))))</f>
        <v/>
      </c>
      <c r="J141">
        <f>IF(I141="Overdue",TODAY()-E141,"")</f>
        <v/>
      </c>
    </row>
    <row r="142">
      <c r="A142" s="16" t="n"/>
      <c r="B142" s="16" t="n"/>
      <c r="C142" s="15" t="n"/>
      <c r="D142" s="16" t="n"/>
      <c r="E142" s="20">
        <f>IF(OR(C142="",D142=""),"",C142+D142)</f>
        <v/>
      </c>
      <c r="F142" s="18" t="n"/>
      <c r="G142" s="6">
        <f>IF(A142="","",SUMIFS(Income!$E$5:$E$504,Income!$C$5:$C$504,A142))</f>
        <v/>
      </c>
      <c r="H142" s="6">
        <f>IF(OR(A142="",F142=""),"",F142-G142)</f>
        <v/>
      </c>
      <c r="I142">
        <f>IF(OR(A142="",F142=""),"",IF(H142&lt;=0.004,"Paid",IF(AND(E142&lt;&gt;"",TODAY()&gt;E142),"Overdue",IF(G142&gt;0,"Partial","Open"))))</f>
        <v/>
      </c>
      <c r="J142">
        <f>IF(I142="Overdue",TODAY()-E142,"")</f>
        <v/>
      </c>
    </row>
    <row r="143">
      <c r="A143" s="16" t="n"/>
      <c r="B143" s="16" t="n"/>
      <c r="C143" s="15" t="n"/>
      <c r="D143" s="16" t="n"/>
      <c r="E143" s="20">
        <f>IF(OR(C143="",D143=""),"",C143+D143)</f>
        <v/>
      </c>
      <c r="F143" s="18" t="n"/>
      <c r="G143" s="6">
        <f>IF(A143="","",SUMIFS(Income!$E$5:$E$504,Income!$C$5:$C$504,A143))</f>
        <v/>
      </c>
      <c r="H143" s="6">
        <f>IF(OR(A143="",F143=""),"",F143-G143)</f>
        <v/>
      </c>
      <c r="I143">
        <f>IF(OR(A143="",F143=""),"",IF(H143&lt;=0.004,"Paid",IF(AND(E143&lt;&gt;"",TODAY()&gt;E143),"Overdue",IF(G143&gt;0,"Partial","Open"))))</f>
        <v/>
      </c>
      <c r="J143">
        <f>IF(I143="Overdue",TODAY()-E143,"")</f>
        <v/>
      </c>
    </row>
    <row r="144">
      <c r="A144" s="16" t="n"/>
      <c r="B144" s="16" t="n"/>
      <c r="C144" s="15" t="n"/>
      <c r="D144" s="16" t="n"/>
      <c r="E144" s="20">
        <f>IF(OR(C144="",D144=""),"",C144+D144)</f>
        <v/>
      </c>
      <c r="F144" s="18" t="n"/>
      <c r="G144" s="6">
        <f>IF(A144="","",SUMIFS(Income!$E$5:$E$504,Income!$C$5:$C$504,A144))</f>
        <v/>
      </c>
      <c r="H144" s="6">
        <f>IF(OR(A144="",F144=""),"",F144-G144)</f>
        <v/>
      </c>
      <c r="I144">
        <f>IF(OR(A144="",F144=""),"",IF(H144&lt;=0.004,"Paid",IF(AND(E144&lt;&gt;"",TODAY()&gt;E144),"Overdue",IF(G144&gt;0,"Partial","Open"))))</f>
        <v/>
      </c>
      <c r="J144">
        <f>IF(I144="Overdue",TODAY()-E144,"")</f>
        <v/>
      </c>
    </row>
    <row r="145">
      <c r="A145" s="16" t="n"/>
      <c r="B145" s="16" t="n"/>
      <c r="C145" s="15" t="n"/>
      <c r="D145" s="16" t="n"/>
      <c r="E145" s="20">
        <f>IF(OR(C145="",D145=""),"",C145+D145)</f>
        <v/>
      </c>
      <c r="F145" s="18" t="n"/>
      <c r="G145" s="6">
        <f>IF(A145="","",SUMIFS(Income!$E$5:$E$504,Income!$C$5:$C$504,A145))</f>
        <v/>
      </c>
      <c r="H145" s="6">
        <f>IF(OR(A145="",F145=""),"",F145-G145)</f>
        <v/>
      </c>
      <c r="I145">
        <f>IF(OR(A145="",F145=""),"",IF(H145&lt;=0.004,"Paid",IF(AND(E145&lt;&gt;"",TODAY()&gt;E145),"Overdue",IF(G145&gt;0,"Partial","Open"))))</f>
        <v/>
      </c>
      <c r="J145">
        <f>IF(I145="Overdue",TODAY()-E145,"")</f>
        <v/>
      </c>
    </row>
    <row r="146">
      <c r="A146" s="16" t="n"/>
      <c r="B146" s="16" t="n"/>
      <c r="C146" s="15" t="n"/>
      <c r="D146" s="16" t="n"/>
      <c r="E146" s="20">
        <f>IF(OR(C146="",D146=""),"",C146+D146)</f>
        <v/>
      </c>
      <c r="F146" s="18" t="n"/>
      <c r="G146" s="6">
        <f>IF(A146="","",SUMIFS(Income!$E$5:$E$504,Income!$C$5:$C$504,A146))</f>
        <v/>
      </c>
      <c r="H146" s="6">
        <f>IF(OR(A146="",F146=""),"",F146-G146)</f>
        <v/>
      </c>
      <c r="I146">
        <f>IF(OR(A146="",F146=""),"",IF(H146&lt;=0.004,"Paid",IF(AND(E146&lt;&gt;"",TODAY()&gt;E146),"Overdue",IF(G146&gt;0,"Partial","Open"))))</f>
        <v/>
      </c>
      <c r="J146">
        <f>IF(I146="Overdue",TODAY()-E146,"")</f>
        <v/>
      </c>
    </row>
    <row r="147">
      <c r="A147" s="16" t="n"/>
      <c r="B147" s="16" t="n"/>
      <c r="C147" s="15" t="n"/>
      <c r="D147" s="16" t="n"/>
      <c r="E147" s="20">
        <f>IF(OR(C147="",D147=""),"",C147+D147)</f>
        <v/>
      </c>
      <c r="F147" s="18" t="n"/>
      <c r="G147" s="6">
        <f>IF(A147="","",SUMIFS(Income!$E$5:$E$504,Income!$C$5:$C$504,A147))</f>
        <v/>
      </c>
      <c r="H147" s="6">
        <f>IF(OR(A147="",F147=""),"",F147-G147)</f>
        <v/>
      </c>
      <c r="I147">
        <f>IF(OR(A147="",F147=""),"",IF(H147&lt;=0.004,"Paid",IF(AND(E147&lt;&gt;"",TODAY()&gt;E147),"Overdue",IF(G147&gt;0,"Partial","Open"))))</f>
        <v/>
      </c>
      <c r="J147">
        <f>IF(I147="Overdue",TODAY()-E147,"")</f>
        <v/>
      </c>
    </row>
    <row r="148">
      <c r="A148" s="16" t="n"/>
      <c r="B148" s="16" t="n"/>
      <c r="C148" s="15" t="n"/>
      <c r="D148" s="16" t="n"/>
      <c r="E148" s="20">
        <f>IF(OR(C148="",D148=""),"",C148+D148)</f>
        <v/>
      </c>
      <c r="F148" s="18" t="n"/>
      <c r="G148" s="6">
        <f>IF(A148="","",SUMIFS(Income!$E$5:$E$504,Income!$C$5:$C$504,A148))</f>
        <v/>
      </c>
      <c r="H148" s="6">
        <f>IF(OR(A148="",F148=""),"",F148-G148)</f>
        <v/>
      </c>
      <c r="I148">
        <f>IF(OR(A148="",F148=""),"",IF(H148&lt;=0.004,"Paid",IF(AND(E148&lt;&gt;"",TODAY()&gt;E148),"Overdue",IF(G148&gt;0,"Partial","Open"))))</f>
        <v/>
      </c>
      <c r="J148">
        <f>IF(I148="Overdue",TODAY()-E148,"")</f>
        <v/>
      </c>
    </row>
    <row r="149">
      <c r="A149" s="16" t="n"/>
      <c r="B149" s="16" t="n"/>
      <c r="C149" s="15" t="n"/>
      <c r="D149" s="16" t="n"/>
      <c r="E149" s="20">
        <f>IF(OR(C149="",D149=""),"",C149+D149)</f>
        <v/>
      </c>
      <c r="F149" s="18" t="n"/>
      <c r="G149" s="6">
        <f>IF(A149="","",SUMIFS(Income!$E$5:$E$504,Income!$C$5:$C$504,A149))</f>
        <v/>
      </c>
      <c r="H149" s="6">
        <f>IF(OR(A149="",F149=""),"",F149-G149)</f>
        <v/>
      </c>
      <c r="I149">
        <f>IF(OR(A149="",F149=""),"",IF(H149&lt;=0.004,"Paid",IF(AND(E149&lt;&gt;"",TODAY()&gt;E149),"Overdue",IF(G149&gt;0,"Partial","Open"))))</f>
        <v/>
      </c>
      <c r="J149">
        <f>IF(I149="Overdue",TODAY()-E149,"")</f>
        <v/>
      </c>
    </row>
    <row r="150">
      <c r="A150" s="16" t="n"/>
      <c r="B150" s="16" t="n"/>
      <c r="C150" s="15" t="n"/>
      <c r="D150" s="16" t="n"/>
      <c r="E150" s="20">
        <f>IF(OR(C150="",D150=""),"",C150+D150)</f>
        <v/>
      </c>
      <c r="F150" s="18" t="n"/>
      <c r="G150" s="6">
        <f>IF(A150="","",SUMIFS(Income!$E$5:$E$504,Income!$C$5:$C$504,A150))</f>
        <v/>
      </c>
      <c r="H150" s="6">
        <f>IF(OR(A150="",F150=""),"",F150-G150)</f>
        <v/>
      </c>
      <c r="I150">
        <f>IF(OR(A150="",F150=""),"",IF(H150&lt;=0.004,"Paid",IF(AND(E150&lt;&gt;"",TODAY()&gt;E150),"Overdue",IF(G150&gt;0,"Partial","Open"))))</f>
        <v/>
      </c>
      <c r="J150">
        <f>IF(I150="Overdue",TODAY()-E150,"")</f>
        <v/>
      </c>
    </row>
    <row r="151">
      <c r="A151" s="16" t="n"/>
      <c r="B151" s="16" t="n"/>
      <c r="C151" s="15" t="n"/>
      <c r="D151" s="16" t="n"/>
      <c r="E151" s="20">
        <f>IF(OR(C151="",D151=""),"",C151+D151)</f>
        <v/>
      </c>
      <c r="F151" s="18" t="n"/>
      <c r="G151" s="6">
        <f>IF(A151="","",SUMIFS(Income!$E$5:$E$504,Income!$C$5:$C$504,A151))</f>
        <v/>
      </c>
      <c r="H151" s="6">
        <f>IF(OR(A151="",F151=""),"",F151-G151)</f>
        <v/>
      </c>
      <c r="I151">
        <f>IF(OR(A151="",F151=""),"",IF(H151&lt;=0.004,"Paid",IF(AND(E151&lt;&gt;"",TODAY()&gt;E151),"Overdue",IF(G151&gt;0,"Partial","Open"))))</f>
        <v/>
      </c>
      <c r="J151">
        <f>IF(I151="Overdue",TODAY()-E151,"")</f>
        <v/>
      </c>
    </row>
    <row r="152">
      <c r="A152" s="16" t="n"/>
      <c r="B152" s="16" t="n"/>
      <c r="C152" s="15" t="n"/>
      <c r="D152" s="16" t="n"/>
      <c r="E152" s="20">
        <f>IF(OR(C152="",D152=""),"",C152+D152)</f>
        <v/>
      </c>
      <c r="F152" s="18" t="n"/>
      <c r="G152" s="6">
        <f>IF(A152="","",SUMIFS(Income!$E$5:$E$504,Income!$C$5:$C$504,A152))</f>
        <v/>
      </c>
      <c r="H152" s="6">
        <f>IF(OR(A152="",F152=""),"",F152-G152)</f>
        <v/>
      </c>
      <c r="I152">
        <f>IF(OR(A152="",F152=""),"",IF(H152&lt;=0.004,"Paid",IF(AND(E152&lt;&gt;"",TODAY()&gt;E152),"Overdue",IF(G152&gt;0,"Partial","Open"))))</f>
        <v/>
      </c>
      <c r="J152">
        <f>IF(I152="Overdue",TODAY()-E152,"")</f>
        <v/>
      </c>
    </row>
    <row r="153">
      <c r="A153" s="16" t="n"/>
      <c r="B153" s="16" t="n"/>
      <c r="C153" s="15" t="n"/>
      <c r="D153" s="16" t="n"/>
      <c r="E153" s="20">
        <f>IF(OR(C153="",D153=""),"",C153+D153)</f>
        <v/>
      </c>
      <c r="F153" s="18" t="n"/>
      <c r="G153" s="6">
        <f>IF(A153="","",SUMIFS(Income!$E$5:$E$504,Income!$C$5:$C$504,A153))</f>
        <v/>
      </c>
      <c r="H153" s="6">
        <f>IF(OR(A153="",F153=""),"",F153-G153)</f>
        <v/>
      </c>
      <c r="I153">
        <f>IF(OR(A153="",F153=""),"",IF(H153&lt;=0.004,"Paid",IF(AND(E153&lt;&gt;"",TODAY()&gt;E153),"Overdue",IF(G153&gt;0,"Partial","Open"))))</f>
        <v/>
      </c>
      <c r="J153">
        <f>IF(I153="Overdue",TODAY()-E153,"")</f>
        <v/>
      </c>
    </row>
    <row r="154">
      <c r="A154" s="16" t="n"/>
      <c r="B154" s="16" t="n"/>
      <c r="C154" s="15" t="n"/>
      <c r="D154" s="16" t="n"/>
      <c r="E154" s="20">
        <f>IF(OR(C154="",D154=""),"",C154+D154)</f>
        <v/>
      </c>
      <c r="F154" s="18" t="n"/>
      <c r="G154" s="6">
        <f>IF(A154="","",SUMIFS(Income!$E$5:$E$504,Income!$C$5:$C$504,A154))</f>
        <v/>
      </c>
      <c r="H154" s="6">
        <f>IF(OR(A154="",F154=""),"",F154-G154)</f>
        <v/>
      </c>
      <c r="I154">
        <f>IF(OR(A154="",F154=""),"",IF(H154&lt;=0.004,"Paid",IF(AND(E154&lt;&gt;"",TODAY()&gt;E154),"Overdue",IF(G154&gt;0,"Partial","Open"))))</f>
        <v/>
      </c>
      <c r="J154">
        <f>IF(I154="Overdue",TODAY()-E154,"")</f>
        <v/>
      </c>
    </row>
    <row r="155">
      <c r="A155" s="16" t="n"/>
      <c r="B155" s="16" t="n"/>
      <c r="C155" s="15" t="n"/>
      <c r="D155" s="16" t="n"/>
      <c r="E155" s="20">
        <f>IF(OR(C155="",D155=""),"",C155+D155)</f>
        <v/>
      </c>
      <c r="F155" s="18" t="n"/>
      <c r="G155" s="6">
        <f>IF(A155="","",SUMIFS(Income!$E$5:$E$504,Income!$C$5:$C$504,A155))</f>
        <v/>
      </c>
      <c r="H155" s="6">
        <f>IF(OR(A155="",F155=""),"",F155-G155)</f>
        <v/>
      </c>
      <c r="I155">
        <f>IF(OR(A155="",F155=""),"",IF(H155&lt;=0.004,"Paid",IF(AND(E155&lt;&gt;"",TODAY()&gt;E155),"Overdue",IF(G155&gt;0,"Partial","Open"))))</f>
        <v/>
      </c>
      <c r="J155">
        <f>IF(I155="Overdue",TODAY()-E155,"")</f>
        <v/>
      </c>
    </row>
    <row r="156">
      <c r="A156" s="16" t="n"/>
      <c r="B156" s="16" t="n"/>
      <c r="C156" s="15" t="n"/>
      <c r="D156" s="16" t="n"/>
      <c r="E156" s="20">
        <f>IF(OR(C156="",D156=""),"",C156+D156)</f>
        <v/>
      </c>
      <c r="F156" s="18" t="n"/>
      <c r="G156" s="6">
        <f>IF(A156="","",SUMIFS(Income!$E$5:$E$504,Income!$C$5:$C$504,A156))</f>
        <v/>
      </c>
      <c r="H156" s="6">
        <f>IF(OR(A156="",F156=""),"",F156-G156)</f>
        <v/>
      </c>
      <c r="I156">
        <f>IF(OR(A156="",F156=""),"",IF(H156&lt;=0.004,"Paid",IF(AND(E156&lt;&gt;"",TODAY()&gt;E156),"Overdue",IF(G156&gt;0,"Partial","Open"))))</f>
        <v/>
      </c>
      <c r="J156">
        <f>IF(I156="Overdue",TODAY()-E156,"")</f>
        <v/>
      </c>
    </row>
    <row r="157">
      <c r="A157" s="16" t="n"/>
      <c r="B157" s="16" t="n"/>
      <c r="C157" s="15" t="n"/>
      <c r="D157" s="16" t="n"/>
      <c r="E157" s="20">
        <f>IF(OR(C157="",D157=""),"",C157+D157)</f>
        <v/>
      </c>
      <c r="F157" s="18" t="n"/>
      <c r="G157" s="6">
        <f>IF(A157="","",SUMIFS(Income!$E$5:$E$504,Income!$C$5:$C$504,A157))</f>
        <v/>
      </c>
      <c r="H157" s="6">
        <f>IF(OR(A157="",F157=""),"",F157-G157)</f>
        <v/>
      </c>
      <c r="I157">
        <f>IF(OR(A157="",F157=""),"",IF(H157&lt;=0.004,"Paid",IF(AND(E157&lt;&gt;"",TODAY()&gt;E157),"Overdue",IF(G157&gt;0,"Partial","Open"))))</f>
        <v/>
      </c>
      <c r="J157">
        <f>IF(I157="Overdue",TODAY()-E157,"")</f>
        <v/>
      </c>
    </row>
    <row r="158">
      <c r="A158" s="16" t="n"/>
      <c r="B158" s="16" t="n"/>
      <c r="C158" s="15" t="n"/>
      <c r="D158" s="16" t="n"/>
      <c r="E158" s="20">
        <f>IF(OR(C158="",D158=""),"",C158+D158)</f>
        <v/>
      </c>
      <c r="F158" s="18" t="n"/>
      <c r="G158" s="6">
        <f>IF(A158="","",SUMIFS(Income!$E$5:$E$504,Income!$C$5:$C$504,A158))</f>
        <v/>
      </c>
      <c r="H158" s="6">
        <f>IF(OR(A158="",F158=""),"",F158-G158)</f>
        <v/>
      </c>
      <c r="I158">
        <f>IF(OR(A158="",F158=""),"",IF(H158&lt;=0.004,"Paid",IF(AND(E158&lt;&gt;"",TODAY()&gt;E158),"Overdue",IF(G158&gt;0,"Partial","Open"))))</f>
        <v/>
      </c>
      <c r="J158">
        <f>IF(I158="Overdue",TODAY()-E158,"")</f>
        <v/>
      </c>
    </row>
    <row r="159">
      <c r="A159" s="16" t="n"/>
      <c r="B159" s="16" t="n"/>
      <c r="C159" s="15" t="n"/>
      <c r="D159" s="16" t="n"/>
      <c r="E159" s="20">
        <f>IF(OR(C159="",D159=""),"",C159+D159)</f>
        <v/>
      </c>
      <c r="F159" s="18" t="n"/>
      <c r="G159" s="6">
        <f>IF(A159="","",SUMIFS(Income!$E$5:$E$504,Income!$C$5:$C$504,A159))</f>
        <v/>
      </c>
      <c r="H159" s="6">
        <f>IF(OR(A159="",F159=""),"",F159-G159)</f>
        <v/>
      </c>
      <c r="I159">
        <f>IF(OR(A159="",F159=""),"",IF(H159&lt;=0.004,"Paid",IF(AND(E159&lt;&gt;"",TODAY()&gt;E159),"Overdue",IF(G159&gt;0,"Partial","Open"))))</f>
        <v/>
      </c>
      <c r="J159">
        <f>IF(I159="Overdue",TODAY()-E159,"")</f>
        <v/>
      </c>
    </row>
    <row r="160">
      <c r="A160" s="16" t="n"/>
      <c r="B160" s="16" t="n"/>
      <c r="C160" s="15" t="n"/>
      <c r="D160" s="16" t="n"/>
      <c r="E160" s="20">
        <f>IF(OR(C160="",D160=""),"",C160+D160)</f>
        <v/>
      </c>
      <c r="F160" s="18" t="n"/>
      <c r="G160" s="6">
        <f>IF(A160="","",SUMIFS(Income!$E$5:$E$504,Income!$C$5:$C$504,A160))</f>
        <v/>
      </c>
      <c r="H160" s="6">
        <f>IF(OR(A160="",F160=""),"",F160-G160)</f>
        <v/>
      </c>
      <c r="I160">
        <f>IF(OR(A160="",F160=""),"",IF(H160&lt;=0.004,"Paid",IF(AND(E160&lt;&gt;"",TODAY()&gt;E160),"Overdue",IF(G160&gt;0,"Partial","Open"))))</f>
        <v/>
      </c>
      <c r="J160">
        <f>IF(I160="Overdue",TODAY()-E160,"")</f>
        <v/>
      </c>
    </row>
    <row r="161">
      <c r="A161" s="16" t="n"/>
      <c r="B161" s="16" t="n"/>
      <c r="C161" s="15" t="n"/>
      <c r="D161" s="16" t="n"/>
      <c r="E161" s="20">
        <f>IF(OR(C161="",D161=""),"",C161+D161)</f>
        <v/>
      </c>
      <c r="F161" s="18" t="n"/>
      <c r="G161" s="6">
        <f>IF(A161="","",SUMIFS(Income!$E$5:$E$504,Income!$C$5:$C$504,A161))</f>
        <v/>
      </c>
      <c r="H161" s="6">
        <f>IF(OR(A161="",F161=""),"",F161-G161)</f>
        <v/>
      </c>
      <c r="I161">
        <f>IF(OR(A161="",F161=""),"",IF(H161&lt;=0.004,"Paid",IF(AND(E161&lt;&gt;"",TODAY()&gt;E161),"Overdue",IF(G161&gt;0,"Partial","Open"))))</f>
        <v/>
      </c>
      <c r="J161">
        <f>IF(I161="Overdue",TODAY()-E161,"")</f>
        <v/>
      </c>
    </row>
    <row r="162">
      <c r="A162" s="16" t="n"/>
      <c r="B162" s="16" t="n"/>
      <c r="C162" s="15" t="n"/>
      <c r="D162" s="16" t="n"/>
      <c r="E162" s="20">
        <f>IF(OR(C162="",D162=""),"",C162+D162)</f>
        <v/>
      </c>
      <c r="F162" s="18" t="n"/>
      <c r="G162" s="6">
        <f>IF(A162="","",SUMIFS(Income!$E$5:$E$504,Income!$C$5:$C$504,A162))</f>
        <v/>
      </c>
      <c r="H162" s="6">
        <f>IF(OR(A162="",F162=""),"",F162-G162)</f>
        <v/>
      </c>
      <c r="I162">
        <f>IF(OR(A162="",F162=""),"",IF(H162&lt;=0.004,"Paid",IF(AND(E162&lt;&gt;"",TODAY()&gt;E162),"Overdue",IF(G162&gt;0,"Partial","Open"))))</f>
        <v/>
      </c>
      <c r="J162">
        <f>IF(I162="Overdue",TODAY()-E162,"")</f>
        <v/>
      </c>
    </row>
    <row r="163">
      <c r="A163" s="16" t="n"/>
      <c r="B163" s="16" t="n"/>
      <c r="C163" s="15" t="n"/>
      <c r="D163" s="16" t="n"/>
      <c r="E163" s="20">
        <f>IF(OR(C163="",D163=""),"",C163+D163)</f>
        <v/>
      </c>
      <c r="F163" s="18" t="n"/>
      <c r="G163" s="6">
        <f>IF(A163="","",SUMIFS(Income!$E$5:$E$504,Income!$C$5:$C$504,A163))</f>
        <v/>
      </c>
      <c r="H163" s="6">
        <f>IF(OR(A163="",F163=""),"",F163-G163)</f>
        <v/>
      </c>
      <c r="I163">
        <f>IF(OR(A163="",F163=""),"",IF(H163&lt;=0.004,"Paid",IF(AND(E163&lt;&gt;"",TODAY()&gt;E163),"Overdue",IF(G163&gt;0,"Partial","Open"))))</f>
        <v/>
      </c>
      <c r="J163">
        <f>IF(I163="Overdue",TODAY()-E163,"")</f>
        <v/>
      </c>
    </row>
    <row r="164">
      <c r="A164" s="16" t="n"/>
      <c r="B164" s="16" t="n"/>
      <c r="C164" s="15" t="n"/>
      <c r="D164" s="16" t="n"/>
      <c r="E164" s="20">
        <f>IF(OR(C164="",D164=""),"",C164+D164)</f>
        <v/>
      </c>
      <c r="F164" s="18" t="n"/>
      <c r="G164" s="6">
        <f>IF(A164="","",SUMIFS(Income!$E$5:$E$504,Income!$C$5:$C$504,A164))</f>
        <v/>
      </c>
      <c r="H164" s="6">
        <f>IF(OR(A164="",F164=""),"",F164-G164)</f>
        <v/>
      </c>
      <c r="I164">
        <f>IF(OR(A164="",F164=""),"",IF(H164&lt;=0.004,"Paid",IF(AND(E164&lt;&gt;"",TODAY()&gt;E164),"Overdue",IF(G164&gt;0,"Partial","Open"))))</f>
        <v/>
      </c>
      <c r="J164">
        <f>IF(I164="Overdue",TODAY()-E164,"")</f>
        <v/>
      </c>
    </row>
    <row r="165">
      <c r="A165" s="16" t="n"/>
      <c r="B165" s="16" t="n"/>
      <c r="C165" s="15" t="n"/>
      <c r="D165" s="16" t="n"/>
      <c r="E165" s="20">
        <f>IF(OR(C165="",D165=""),"",C165+D165)</f>
        <v/>
      </c>
      <c r="F165" s="18" t="n"/>
      <c r="G165" s="6">
        <f>IF(A165="","",SUMIFS(Income!$E$5:$E$504,Income!$C$5:$C$504,A165))</f>
        <v/>
      </c>
      <c r="H165" s="6">
        <f>IF(OR(A165="",F165=""),"",F165-G165)</f>
        <v/>
      </c>
      <c r="I165">
        <f>IF(OR(A165="",F165=""),"",IF(H165&lt;=0.004,"Paid",IF(AND(E165&lt;&gt;"",TODAY()&gt;E165),"Overdue",IF(G165&gt;0,"Partial","Open"))))</f>
        <v/>
      </c>
      <c r="J165">
        <f>IF(I165="Overdue",TODAY()-E165,"")</f>
        <v/>
      </c>
    </row>
    <row r="166">
      <c r="A166" s="16" t="n"/>
      <c r="B166" s="16" t="n"/>
      <c r="C166" s="15" t="n"/>
      <c r="D166" s="16" t="n"/>
      <c r="E166" s="20">
        <f>IF(OR(C166="",D166=""),"",C166+D166)</f>
        <v/>
      </c>
      <c r="F166" s="18" t="n"/>
      <c r="G166" s="6">
        <f>IF(A166="","",SUMIFS(Income!$E$5:$E$504,Income!$C$5:$C$504,A166))</f>
        <v/>
      </c>
      <c r="H166" s="6">
        <f>IF(OR(A166="",F166=""),"",F166-G166)</f>
        <v/>
      </c>
      <c r="I166">
        <f>IF(OR(A166="",F166=""),"",IF(H166&lt;=0.004,"Paid",IF(AND(E166&lt;&gt;"",TODAY()&gt;E166),"Overdue",IF(G166&gt;0,"Partial","Open"))))</f>
        <v/>
      </c>
      <c r="J166">
        <f>IF(I166="Overdue",TODAY()-E166,"")</f>
        <v/>
      </c>
    </row>
    <row r="167">
      <c r="A167" s="16" t="n"/>
      <c r="B167" s="16" t="n"/>
      <c r="C167" s="15" t="n"/>
      <c r="D167" s="16" t="n"/>
      <c r="E167" s="20">
        <f>IF(OR(C167="",D167=""),"",C167+D167)</f>
        <v/>
      </c>
      <c r="F167" s="18" t="n"/>
      <c r="G167" s="6">
        <f>IF(A167="","",SUMIFS(Income!$E$5:$E$504,Income!$C$5:$C$504,A167))</f>
        <v/>
      </c>
      <c r="H167" s="6">
        <f>IF(OR(A167="",F167=""),"",F167-G167)</f>
        <v/>
      </c>
      <c r="I167">
        <f>IF(OR(A167="",F167=""),"",IF(H167&lt;=0.004,"Paid",IF(AND(E167&lt;&gt;"",TODAY()&gt;E167),"Overdue",IF(G167&gt;0,"Partial","Open"))))</f>
        <v/>
      </c>
      <c r="J167">
        <f>IF(I167="Overdue",TODAY()-E167,"")</f>
        <v/>
      </c>
    </row>
    <row r="168">
      <c r="A168" s="16" t="n"/>
      <c r="B168" s="16" t="n"/>
      <c r="C168" s="15" t="n"/>
      <c r="D168" s="16" t="n"/>
      <c r="E168" s="20">
        <f>IF(OR(C168="",D168=""),"",C168+D168)</f>
        <v/>
      </c>
      <c r="F168" s="18" t="n"/>
      <c r="G168" s="6">
        <f>IF(A168="","",SUMIFS(Income!$E$5:$E$504,Income!$C$5:$C$504,A168))</f>
        <v/>
      </c>
      <c r="H168" s="6">
        <f>IF(OR(A168="",F168=""),"",F168-G168)</f>
        <v/>
      </c>
      <c r="I168">
        <f>IF(OR(A168="",F168=""),"",IF(H168&lt;=0.004,"Paid",IF(AND(E168&lt;&gt;"",TODAY()&gt;E168),"Overdue",IF(G168&gt;0,"Partial","Open"))))</f>
        <v/>
      </c>
      <c r="J168">
        <f>IF(I168="Overdue",TODAY()-E168,"")</f>
        <v/>
      </c>
    </row>
    <row r="169">
      <c r="A169" s="16" t="n"/>
      <c r="B169" s="16" t="n"/>
      <c r="C169" s="15" t="n"/>
      <c r="D169" s="16" t="n"/>
      <c r="E169" s="20">
        <f>IF(OR(C169="",D169=""),"",C169+D169)</f>
        <v/>
      </c>
      <c r="F169" s="18" t="n"/>
      <c r="G169" s="6">
        <f>IF(A169="","",SUMIFS(Income!$E$5:$E$504,Income!$C$5:$C$504,A169))</f>
        <v/>
      </c>
      <c r="H169" s="6">
        <f>IF(OR(A169="",F169=""),"",F169-G169)</f>
        <v/>
      </c>
      <c r="I169">
        <f>IF(OR(A169="",F169=""),"",IF(H169&lt;=0.004,"Paid",IF(AND(E169&lt;&gt;"",TODAY()&gt;E169),"Overdue",IF(G169&gt;0,"Partial","Open"))))</f>
        <v/>
      </c>
      <c r="J169">
        <f>IF(I169="Overdue",TODAY()-E169,"")</f>
        <v/>
      </c>
    </row>
    <row r="170">
      <c r="A170" s="16" t="n"/>
      <c r="B170" s="16" t="n"/>
      <c r="C170" s="15" t="n"/>
      <c r="D170" s="16" t="n"/>
      <c r="E170" s="20">
        <f>IF(OR(C170="",D170=""),"",C170+D170)</f>
        <v/>
      </c>
      <c r="F170" s="18" t="n"/>
      <c r="G170" s="6">
        <f>IF(A170="","",SUMIFS(Income!$E$5:$E$504,Income!$C$5:$C$504,A170))</f>
        <v/>
      </c>
      <c r="H170" s="6">
        <f>IF(OR(A170="",F170=""),"",F170-G170)</f>
        <v/>
      </c>
      <c r="I170">
        <f>IF(OR(A170="",F170=""),"",IF(H170&lt;=0.004,"Paid",IF(AND(E170&lt;&gt;"",TODAY()&gt;E170),"Overdue",IF(G170&gt;0,"Partial","Open"))))</f>
        <v/>
      </c>
      <c r="J170">
        <f>IF(I170="Overdue",TODAY()-E170,"")</f>
        <v/>
      </c>
    </row>
    <row r="171">
      <c r="A171" s="16" t="n"/>
      <c r="B171" s="16" t="n"/>
      <c r="C171" s="15" t="n"/>
      <c r="D171" s="16" t="n"/>
      <c r="E171" s="20">
        <f>IF(OR(C171="",D171=""),"",C171+D171)</f>
        <v/>
      </c>
      <c r="F171" s="18" t="n"/>
      <c r="G171" s="6">
        <f>IF(A171="","",SUMIFS(Income!$E$5:$E$504,Income!$C$5:$C$504,A171))</f>
        <v/>
      </c>
      <c r="H171" s="6">
        <f>IF(OR(A171="",F171=""),"",F171-G171)</f>
        <v/>
      </c>
      <c r="I171">
        <f>IF(OR(A171="",F171=""),"",IF(H171&lt;=0.004,"Paid",IF(AND(E171&lt;&gt;"",TODAY()&gt;E171),"Overdue",IF(G171&gt;0,"Partial","Open"))))</f>
        <v/>
      </c>
      <c r="J171">
        <f>IF(I171="Overdue",TODAY()-E171,"")</f>
        <v/>
      </c>
    </row>
    <row r="172">
      <c r="A172" s="16" t="n"/>
      <c r="B172" s="16" t="n"/>
      <c r="C172" s="15" t="n"/>
      <c r="D172" s="16" t="n"/>
      <c r="E172" s="20">
        <f>IF(OR(C172="",D172=""),"",C172+D172)</f>
        <v/>
      </c>
      <c r="F172" s="18" t="n"/>
      <c r="G172" s="6">
        <f>IF(A172="","",SUMIFS(Income!$E$5:$E$504,Income!$C$5:$C$504,A172))</f>
        <v/>
      </c>
      <c r="H172" s="6">
        <f>IF(OR(A172="",F172=""),"",F172-G172)</f>
        <v/>
      </c>
      <c r="I172">
        <f>IF(OR(A172="",F172=""),"",IF(H172&lt;=0.004,"Paid",IF(AND(E172&lt;&gt;"",TODAY()&gt;E172),"Overdue",IF(G172&gt;0,"Partial","Open"))))</f>
        <v/>
      </c>
      <c r="J172">
        <f>IF(I172="Overdue",TODAY()-E172,"")</f>
        <v/>
      </c>
    </row>
    <row r="173">
      <c r="A173" s="16" t="n"/>
      <c r="B173" s="16" t="n"/>
      <c r="C173" s="15" t="n"/>
      <c r="D173" s="16" t="n"/>
      <c r="E173" s="20">
        <f>IF(OR(C173="",D173=""),"",C173+D173)</f>
        <v/>
      </c>
      <c r="F173" s="18" t="n"/>
      <c r="G173" s="6">
        <f>IF(A173="","",SUMIFS(Income!$E$5:$E$504,Income!$C$5:$C$504,A173))</f>
        <v/>
      </c>
      <c r="H173" s="6">
        <f>IF(OR(A173="",F173=""),"",F173-G173)</f>
        <v/>
      </c>
      <c r="I173">
        <f>IF(OR(A173="",F173=""),"",IF(H173&lt;=0.004,"Paid",IF(AND(E173&lt;&gt;"",TODAY()&gt;E173),"Overdue",IF(G173&gt;0,"Partial","Open"))))</f>
        <v/>
      </c>
      <c r="J173">
        <f>IF(I173="Overdue",TODAY()-E173,"")</f>
        <v/>
      </c>
    </row>
    <row r="174">
      <c r="A174" s="16" t="n"/>
      <c r="B174" s="16" t="n"/>
      <c r="C174" s="15" t="n"/>
      <c r="D174" s="16" t="n"/>
      <c r="E174" s="20">
        <f>IF(OR(C174="",D174=""),"",C174+D174)</f>
        <v/>
      </c>
      <c r="F174" s="18" t="n"/>
      <c r="G174" s="6">
        <f>IF(A174="","",SUMIFS(Income!$E$5:$E$504,Income!$C$5:$C$504,A174))</f>
        <v/>
      </c>
      <c r="H174" s="6">
        <f>IF(OR(A174="",F174=""),"",F174-G174)</f>
        <v/>
      </c>
      <c r="I174">
        <f>IF(OR(A174="",F174=""),"",IF(H174&lt;=0.004,"Paid",IF(AND(E174&lt;&gt;"",TODAY()&gt;E174),"Overdue",IF(G174&gt;0,"Partial","Open"))))</f>
        <v/>
      </c>
      <c r="J174">
        <f>IF(I174="Overdue",TODAY()-E174,"")</f>
        <v/>
      </c>
    </row>
    <row r="175">
      <c r="A175" s="16" t="n"/>
      <c r="B175" s="16" t="n"/>
      <c r="C175" s="15" t="n"/>
      <c r="D175" s="16" t="n"/>
      <c r="E175" s="20">
        <f>IF(OR(C175="",D175=""),"",C175+D175)</f>
        <v/>
      </c>
      <c r="F175" s="18" t="n"/>
      <c r="G175" s="6">
        <f>IF(A175="","",SUMIFS(Income!$E$5:$E$504,Income!$C$5:$C$504,A175))</f>
        <v/>
      </c>
      <c r="H175" s="6">
        <f>IF(OR(A175="",F175=""),"",F175-G175)</f>
        <v/>
      </c>
      <c r="I175">
        <f>IF(OR(A175="",F175=""),"",IF(H175&lt;=0.004,"Paid",IF(AND(E175&lt;&gt;"",TODAY()&gt;E175),"Overdue",IF(G175&gt;0,"Partial","Open"))))</f>
        <v/>
      </c>
      <c r="J175">
        <f>IF(I175="Overdue",TODAY()-E175,"")</f>
        <v/>
      </c>
    </row>
    <row r="176">
      <c r="A176" s="16" t="n"/>
      <c r="B176" s="16" t="n"/>
      <c r="C176" s="15" t="n"/>
      <c r="D176" s="16" t="n"/>
      <c r="E176" s="20">
        <f>IF(OR(C176="",D176=""),"",C176+D176)</f>
        <v/>
      </c>
      <c r="F176" s="18" t="n"/>
      <c r="G176" s="6">
        <f>IF(A176="","",SUMIFS(Income!$E$5:$E$504,Income!$C$5:$C$504,A176))</f>
        <v/>
      </c>
      <c r="H176" s="6">
        <f>IF(OR(A176="",F176=""),"",F176-G176)</f>
        <v/>
      </c>
      <c r="I176">
        <f>IF(OR(A176="",F176=""),"",IF(H176&lt;=0.004,"Paid",IF(AND(E176&lt;&gt;"",TODAY()&gt;E176),"Overdue",IF(G176&gt;0,"Partial","Open"))))</f>
        <v/>
      </c>
      <c r="J176">
        <f>IF(I176="Overdue",TODAY()-E176,"")</f>
        <v/>
      </c>
    </row>
    <row r="177">
      <c r="A177" s="16" t="n"/>
      <c r="B177" s="16" t="n"/>
      <c r="C177" s="15" t="n"/>
      <c r="D177" s="16" t="n"/>
      <c r="E177" s="20">
        <f>IF(OR(C177="",D177=""),"",C177+D177)</f>
        <v/>
      </c>
      <c r="F177" s="18" t="n"/>
      <c r="G177" s="6">
        <f>IF(A177="","",SUMIFS(Income!$E$5:$E$504,Income!$C$5:$C$504,A177))</f>
        <v/>
      </c>
      <c r="H177" s="6">
        <f>IF(OR(A177="",F177=""),"",F177-G177)</f>
        <v/>
      </c>
      <c r="I177">
        <f>IF(OR(A177="",F177=""),"",IF(H177&lt;=0.004,"Paid",IF(AND(E177&lt;&gt;"",TODAY()&gt;E177),"Overdue",IF(G177&gt;0,"Partial","Open"))))</f>
        <v/>
      </c>
      <c r="J177">
        <f>IF(I177="Overdue",TODAY()-E177,"")</f>
        <v/>
      </c>
    </row>
    <row r="178">
      <c r="A178" s="16" t="n"/>
      <c r="B178" s="16" t="n"/>
      <c r="C178" s="15" t="n"/>
      <c r="D178" s="16" t="n"/>
      <c r="E178" s="20">
        <f>IF(OR(C178="",D178=""),"",C178+D178)</f>
        <v/>
      </c>
      <c r="F178" s="18" t="n"/>
      <c r="G178" s="6">
        <f>IF(A178="","",SUMIFS(Income!$E$5:$E$504,Income!$C$5:$C$504,A178))</f>
        <v/>
      </c>
      <c r="H178" s="6">
        <f>IF(OR(A178="",F178=""),"",F178-G178)</f>
        <v/>
      </c>
      <c r="I178">
        <f>IF(OR(A178="",F178=""),"",IF(H178&lt;=0.004,"Paid",IF(AND(E178&lt;&gt;"",TODAY()&gt;E178),"Overdue",IF(G178&gt;0,"Partial","Open"))))</f>
        <v/>
      </c>
      <c r="J178">
        <f>IF(I178="Overdue",TODAY()-E178,"")</f>
        <v/>
      </c>
    </row>
    <row r="179">
      <c r="A179" s="16" t="n"/>
      <c r="B179" s="16" t="n"/>
      <c r="C179" s="15" t="n"/>
      <c r="D179" s="16" t="n"/>
      <c r="E179" s="20">
        <f>IF(OR(C179="",D179=""),"",C179+D179)</f>
        <v/>
      </c>
      <c r="F179" s="18" t="n"/>
      <c r="G179" s="6">
        <f>IF(A179="","",SUMIFS(Income!$E$5:$E$504,Income!$C$5:$C$504,A179))</f>
        <v/>
      </c>
      <c r="H179" s="6">
        <f>IF(OR(A179="",F179=""),"",F179-G179)</f>
        <v/>
      </c>
      <c r="I179">
        <f>IF(OR(A179="",F179=""),"",IF(H179&lt;=0.004,"Paid",IF(AND(E179&lt;&gt;"",TODAY()&gt;E179),"Overdue",IF(G179&gt;0,"Partial","Open"))))</f>
        <v/>
      </c>
      <c r="J179">
        <f>IF(I179="Overdue",TODAY()-E179,"")</f>
        <v/>
      </c>
    </row>
    <row r="180">
      <c r="A180" s="16" t="n"/>
      <c r="B180" s="16" t="n"/>
      <c r="C180" s="15" t="n"/>
      <c r="D180" s="16" t="n"/>
      <c r="E180" s="20">
        <f>IF(OR(C180="",D180=""),"",C180+D180)</f>
        <v/>
      </c>
      <c r="F180" s="18" t="n"/>
      <c r="G180" s="6">
        <f>IF(A180="","",SUMIFS(Income!$E$5:$E$504,Income!$C$5:$C$504,A180))</f>
        <v/>
      </c>
      <c r="H180" s="6">
        <f>IF(OR(A180="",F180=""),"",F180-G180)</f>
        <v/>
      </c>
      <c r="I180">
        <f>IF(OR(A180="",F180=""),"",IF(H180&lt;=0.004,"Paid",IF(AND(E180&lt;&gt;"",TODAY()&gt;E180),"Overdue",IF(G180&gt;0,"Partial","Open"))))</f>
        <v/>
      </c>
      <c r="J180">
        <f>IF(I180="Overdue",TODAY()-E180,"")</f>
        <v/>
      </c>
    </row>
    <row r="181">
      <c r="A181" s="16" t="n"/>
      <c r="B181" s="16" t="n"/>
      <c r="C181" s="15" t="n"/>
      <c r="D181" s="16" t="n"/>
      <c r="E181" s="20">
        <f>IF(OR(C181="",D181=""),"",C181+D181)</f>
        <v/>
      </c>
      <c r="F181" s="18" t="n"/>
      <c r="G181" s="6">
        <f>IF(A181="","",SUMIFS(Income!$E$5:$E$504,Income!$C$5:$C$504,A181))</f>
        <v/>
      </c>
      <c r="H181" s="6">
        <f>IF(OR(A181="",F181=""),"",F181-G181)</f>
        <v/>
      </c>
      <c r="I181">
        <f>IF(OR(A181="",F181=""),"",IF(H181&lt;=0.004,"Paid",IF(AND(E181&lt;&gt;"",TODAY()&gt;E181),"Overdue",IF(G181&gt;0,"Partial","Open"))))</f>
        <v/>
      </c>
      <c r="J181">
        <f>IF(I181="Overdue",TODAY()-E181,"")</f>
        <v/>
      </c>
    </row>
    <row r="182">
      <c r="A182" s="16" t="n"/>
      <c r="B182" s="16" t="n"/>
      <c r="C182" s="15" t="n"/>
      <c r="D182" s="16" t="n"/>
      <c r="E182" s="20">
        <f>IF(OR(C182="",D182=""),"",C182+D182)</f>
        <v/>
      </c>
      <c r="F182" s="18" t="n"/>
      <c r="G182" s="6">
        <f>IF(A182="","",SUMIFS(Income!$E$5:$E$504,Income!$C$5:$C$504,A182))</f>
        <v/>
      </c>
      <c r="H182" s="6">
        <f>IF(OR(A182="",F182=""),"",F182-G182)</f>
        <v/>
      </c>
      <c r="I182">
        <f>IF(OR(A182="",F182=""),"",IF(H182&lt;=0.004,"Paid",IF(AND(E182&lt;&gt;"",TODAY()&gt;E182),"Overdue",IF(G182&gt;0,"Partial","Open"))))</f>
        <v/>
      </c>
      <c r="J182">
        <f>IF(I182="Overdue",TODAY()-E182,"")</f>
        <v/>
      </c>
    </row>
    <row r="183">
      <c r="A183" s="16" t="n"/>
      <c r="B183" s="16" t="n"/>
      <c r="C183" s="15" t="n"/>
      <c r="D183" s="16" t="n"/>
      <c r="E183" s="20">
        <f>IF(OR(C183="",D183=""),"",C183+D183)</f>
        <v/>
      </c>
      <c r="F183" s="18" t="n"/>
      <c r="G183" s="6">
        <f>IF(A183="","",SUMIFS(Income!$E$5:$E$504,Income!$C$5:$C$504,A183))</f>
        <v/>
      </c>
      <c r="H183" s="6">
        <f>IF(OR(A183="",F183=""),"",F183-G183)</f>
        <v/>
      </c>
      <c r="I183">
        <f>IF(OR(A183="",F183=""),"",IF(H183&lt;=0.004,"Paid",IF(AND(E183&lt;&gt;"",TODAY()&gt;E183),"Overdue",IF(G183&gt;0,"Partial","Open"))))</f>
        <v/>
      </c>
      <c r="J183">
        <f>IF(I183="Overdue",TODAY()-E183,"")</f>
        <v/>
      </c>
    </row>
    <row r="184">
      <c r="A184" s="16" t="n"/>
      <c r="B184" s="16" t="n"/>
      <c r="C184" s="15" t="n"/>
      <c r="D184" s="16" t="n"/>
      <c r="E184" s="20">
        <f>IF(OR(C184="",D184=""),"",C184+D184)</f>
        <v/>
      </c>
      <c r="F184" s="18" t="n"/>
      <c r="G184" s="6">
        <f>IF(A184="","",SUMIFS(Income!$E$5:$E$504,Income!$C$5:$C$504,A184))</f>
        <v/>
      </c>
      <c r="H184" s="6">
        <f>IF(OR(A184="",F184=""),"",F184-G184)</f>
        <v/>
      </c>
      <c r="I184">
        <f>IF(OR(A184="",F184=""),"",IF(H184&lt;=0.004,"Paid",IF(AND(E184&lt;&gt;"",TODAY()&gt;E184),"Overdue",IF(G184&gt;0,"Partial","Open"))))</f>
        <v/>
      </c>
      <c r="J184">
        <f>IF(I184="Overdue",TODAY()-E184,"")</f>
        <v/>
      </c>
    </row>
    <row r="185">
      <c r="A185" s="16" t="n"/>
      <c r="B185" s="16" t="n"/>
      <c r="C185" s="15" t="n"/>
      <c r="D185" s="16" t="n"/>
      <c r="E185" s="20">
        <f>IF(OR(C185="",D185=""),"",C185+D185)</f>
        <v/>
      </c>
      <c r="F185" s="18" t="n"/>
      <c r="G185" s="6">
        <f>IF(A185="","",SUMIFS(Income!$E$5:$E$504,Income!$C$5:$C$504,A185))</f>
        <v/>
      </c>
      <c r="H185" s="6">
        <f>IF(OR(A185="",F185=""),"",F185-G185)</f>
        <v/>
      </c>
      <c r="I185">
        <f>IF(OR(A185="",F185=""),"",IF(H185&lt;=0.004,"Paid",IF(AND(E185&lt;&gt;"",TODAY()&gt;E185),"Overdue",IF(G185&gt;0,"Partial","Open"))))</f>
        <v/>
      </c>
      <c r="J185">
        <f>IF(I185="Overdue",TODAY()-E185,"")</f>
        <v/>
      </c>
    </row>
    <row r="186">
      <c r="A186" s="16" t="n"/>
      <c r="B186" s="16" t="n"/>
      <c r="C186" s="15" t="n"/>
      <c r="D186" s="16" t="n"/>
      <c r="E186" s="20">
        <f>IF(OR(C186="",D186=""),"",C186+D186)</f>
        <v/>
      </c>
      <c r="F186" s="18" t="n"/>
      <c r="G186" s="6">
        <f>IF(A186="","",SUMIFS(Income!$E$5:$E$504,Income!$C$5:$C$504,A186))</f>
        <v/>
      </c>
      <c r="H186" s="6">
        <f>IF(OR(A186="",F186=""),"",F186-G186)</f>
        <v/>
      </c>
      <c r="I186">
        <f>IF(OR(A186="",F186=""),"",IF(H186&lt;=0.004,"Paid",IF(AND(E186&lt;&gt;"",TODAY()&gt;E186),"Overdue",IF(G186&gt;0,"Partial","Open"))))</f>
        <v/>
      </c>
      <c r="J186">
        <f>IF(I186="Overdue",TODAY()-E186,"")</f>
        <v/>
      </c>
    </row>
    <row r="187">
      <c r="A187" s="16" t="n"/>
      <c r="B187" s="16" t="n"/>
      <c r="C187" s="15" t="n"/>
      <c r="D187" s="16" t="n"/>
      <c r="E187" s="20">
        <f>IF(OR(C187="",D187=""),"",C187+D187)</f>
        <v/>
      </c>
      <c r="F187" s="18" t="n"/>
      <c r="G187" s="6">
        <f>IF(A187="","",SUMIFS(Income!$E$5:$E$504,Income!$C$5:$C$504,A187))</f>
        <v/>
      </c>
      <c r="H187" s="6">
        <f>IF(OR(A187="",F187=""),"",F187-G187)</f>
        <v/>
      </c>
      <c r="I187">
        <f>IF(OR(A187="",F187=""),"",IF(H187&lt;=0.004,"Paid",IF(AND(E187&lt;&gt;"",TODAY()&gt;E187),"Overdue",IF(G187&gt;0,"Partial","Open"))))</f>
        <v/>
      </c>
      <c r="J187">
        <f>IF(I187="Overdue",TODAY()-E187,"")</f>
        <v/>
      </c>
    </row>
    <row r="188">
      <c r="A188" s="16" t="n"/>
      <c r="B188" s="16" t="n"/>
      <c r="C188" s="15" t="n"/>
      <c r="D188" s="16" t="n"/>
      <c r="E188" s="20">
        <f>IF(OR(C188="",D188=""),"",C188+D188)</f>
        <v/>
      </c>
      <c r="F188" s="18" t="n"/>
      <c r="G188" s="6">
        <f>IF(A188="","",SUMIFS(Income!$E$5:$E$504,Income!$C$5:$C$504,A188))</f>
        <v/>
      </c>
      <c r="H188" s="6">
        <f>IF(OR(A188="",F188=""),"",F188-G188)</f>
        <v/>
      </c>
      <c r="I188">
        <f>IF(OR(A188="",F188=""),"",IF(H188&lt;=0.004,"Paid",IF(AND(E188&lt;&gt;"",TODAY()&gt;E188),"Overdue",IF(G188&gt;0,"Partial","Open"))))</f>
        <v/>
      </c>
      <c r="J188">
        <f>IF(I188="Overdue",TODAY()-E188,"")</f>
        <v/>
      </c>
    </row>
    <row r="189">
      <c r="A189" s="16" t="n"/>
      <c r="B189" s="16" t="n"/>
      <c r="C189" s="15" t="n"/>
      <c r="D189" s="16" t="n"/>
      <c r="E189" s="20">
        <f>IF(OR(C189="",D189=""),"",C189+D189)</f>
        <v/>
      </c>
      <c r="F189" s="18" t="n"/>
      <c r="G189" s="6">
        <f>IF(A189="","",SUMIFS(Income!$E$5:$E$504,Income!$C$5:$C$504,A189))</f>
        <v/>
      </c>
      <c r="H189" s="6">
        <f>IF(OR(A189="",F189=""),"",F189-G189)</f>
        <v/>
      </c>
      <c r="I189">
        <f>IF(OR(A189="",F189=""),"",IF(H189&lt;=0.004,"Paid",IF(AND(E189&lt;&gt;"",TODAY()&gt;E189),"Overdue",IF(G189&gt;0,"Partial","Open"))))</f>
        <v/>
      </c>
      <c r="J189">
        <f>IF(I189="Overdue",TODAY()-E189,"")</f>
        <v/>
      </c>
    </row>
    <row r="190">
      <c r="A190" s="16" t="n"/>
      <c r="B190" s="16" t="n"/>
      <c r="C190" s="15" t="n"/>
      <c r="D190" s="16" t="n"/>
      <c r="E190" s="20">
        <f>IF(OR(C190="",D190=""),"",C190+D190)</f>
        <v/>
      </c>
      <c r="F190" s="18" t="n"/>
      <c r="G190" s="6">
        <f>IF(A190="","",SUMIFS(Income!$E$5:$E$504,Income!$C$5:$C$504,A190))</f>
        <v/>
      </c>
      <c r="H190" s="6">
        <f>IF(OR(A190="",F190=""),"",F190-G190)</f>
        <v/>
      </c>
      <c r="I190">
        <f>IF(OR(A190="",F190=""),"",IF(H190&lt;=0.004,"Paid",IF(AND(E190&lt;&gt;"",TODAY()&gt;E190),"Overdue",IF(G190&gt;0,"Partial","Open"))))</f>
        <v/>
      </c>
      <c r="J190">
        <f>IF(I190="Overdue",TODAY()-E190,"")</f>
        <v/>
      </c>
    </row>
    <row r="191">
      <c r="A191" s="16" t="n"/>
      <c r="B191" s="16" t="n"/>
      <c r="C191" s="15" t="n"/>
      <c r="D191" s="16" t="n"/>
      <c r="E191" s="20">
        <f>IF(OR(C191="",D191=""),"",C191+D191)</f>
        <v/>
      </c>
      <c r="F191" s="18" t="n"/>
      <c r="G191" s="6">
        <f>IF(A191="","",SUMIFS(Income!$E$5:$E$504,Income!$C$5:$C$504,A191))</f>
        <v/>
      </c>
      <c r="H191" s="6">
        <f>IF(OR(A191="",F191=""),"",F191-G191)</f>
        <v/>
      </c>
      <c r="I191">
        <f>IF(OR(A191="",F191=""),"",IF(H191&lt;=0.004,"Paid",IF(AND(E191&lt;&gt;"",TODAY()&gt;E191),"Overdue",IF(G191&gt;0,"Partial","Open"))))</f>
        <v/>
      </c>
      <c r="J191">
        <f>IF(I191="Overdue",TODAY()-E191,"")</f>
        <v/>
      </c>
    </row>
    <row r="192">
      <c r="A192" s="16" t="n"/>
      <c r="B192" s="16" t="n"/>
      <c r="C192" s="15" t="n"/>
      <c r="D192" s="16" t="n"/>
      <c r="E192" s="20">
        <f>IF(OR(C192="",D192=""),"",C192+D192)</f>
        <v/>
      </c>
      <c r="F192" s="18" t="n"/>
      <c r="G192" s="6">
        <f>IF(A192="","",SUMIFS(Income!$E$5:$E$504,Income!$C$5:$C$504,A192))</f>
        <v/>
      </c>
      <c r="H192" s="6">
        <f>IF(OR(A192="",F192=""),"",F192-G192)</f>
        <v/>
      </c>
      <c r="I192">
        <f>IF(OR(A192="",F192=""),"",IF(H192&lt;=0.004,"Paid",IF(AND(E192&lt;&gt;"",TODAY()&gt;E192),"Overdue",IF(G192&gt;0,"Partial","Open"))))</f>
        <v/>
      </c>
      <c r="J192">
        <f>IF(I192="Overdue",TODAY()-E192,"")</f>
        <v/>
      </c>
    </row>
    <row r="193">
      <c r="A193" s="16" t="n"/>
      <c r="B193" s="16" t="n"/>
      <c r="C193" s="15" t="n"/>
      <c r="D193" s="16" t="n"/>
      <c r="E193" s="20">
        <f>IF(OR(C193="",D193=""),"",C193+D193)</f>
        <v/>
      </c>
      <c r="F193" s="18" t="n"/>
      <c r="G193" s="6">
        <f>IF(A193="","",SUMIFS(Income!$E$5:$E$504,Income!$C$5:$C$504,A193))</f>
        <v/>
      </c>
      <c r="H193" s="6">
        <f>IF(OR(A193="",F193=""),"",F193-G193)</f>
        <v/>
      </c>
      <c r="I193">
        <f>IF(OR(A193="",F193=""),"",IF(H193&lt;=0.004,"Paid",IF(AND(E193&lt;&gt;"",TODAY()&gt;E193),"Overdue",IF(G193&gt;0,"Partial","Open"))))</f>
        <v/>
      </c>
      <c r="J193">
        <f>IF(I193="Overdue",TODAY()-E193,"")</f>
        <v/>
      </c>
    </row>
    <row r="194">
      <c r="A194" s="16" t="n"/>
      <c r="B194" s="16" t="n"/>
      <c r="C194" s="15" t="n"/>
      <c r="D194" s="16" t="n"/>
      <c r="E194" s="20">
        <f>IF(OR(C194="",D194=""),"",C194+D194)</f>
        <v/>
      </c>
      <c r="F194" s="18" t="n"/>
      <c r="G194" s="6">
        <f>IF(A194="","",SUMIFS(Income!$E$5:$E$504,Income!$C$5:$C$504,A194))</f>
        <v/>
      </c>
      <c r="H194" s="6">
        <f>IF(OR(A194="",F194=""),"",F194-G194)</f>
        <v/>
      </c>
      <c r="I194">
        <f>IF(OR(A194="",F194=""),"",IF(H194&lt;=0.004,"Paid",IF(AND(E194&lt;&gt;"",TODAY()&gt;E194),"Overdue",IF(G194&gt;0,"Partial","Open"))))</f>
        <v/>
      </c>
      <c r="J194">
        <f>IF(I194="Overdue",TODAY()-E194,"")</f>
        <v/>
      </c>
    </row>
    <row r="195">
      <c r="A195" s="16" t="n"/>
      <c r="B195" s="16" t="n"/>
      <c r="C195" s="15" t="n"/>
      <c r="D195" s="16" t="n"/>
      <c r="E195" s="20">
        <f>IF(OR(C195="",D195=""),"",C195+D195)</f>
        <v/>
      </c>
      <c r="F195" s="18" t="n"/>
      <c r="G195" s="6">
        <f>IF(A195="","",SUMIFS(Income!$E$5:$E$504,Income!$C$5:$C$504,A195))</f>
        <v/>
      </c>
      <c r="H195" s="6">
        <f>IF(OR(A195="",F195=""),"",F195-G195)</f>
        <v/>
      </c>
      <c r="I195">
        <f>IF(OR(A195="",F195=""),"",IF(H195&lt;=0.004,"Paid",IF(AND(E195&lt;&gt;"",TODAY()&gt;E195),"Overdue",IF(G195&gt;0,"Partial","Open"))))</f>
        <v/>
      </c>
      <c r="J195">
        <f>IF(I195="Overdue",TODAY()-E195,"")</f>
        <v/>
      </c>
    </row>
    <row r="196">
      <c r="A196" s="16" t="n"/>
      <c r="B196" s="16" t="n"/>
      <c r="C196" s="15" t="n"/>
      <c r="D196" s="16" t="n"/>
      <c r="E196" s="20">
        <f>IF(OR(C196="",D196=""),"",C196+D196)</f>
        <v/>
      </c>
      <c r="F196" s="18" t="n"/>
      <c r="G196" s="6">
        <f>IF(A196="","",SUMIFS(Income!$E$5:$E$504,Income!$C$5:$C$504,A196))</f>
        <v/>
      </c>
      <c r="H196" s="6">
        <f>IF(OR(A196="",F196=""),"",F196-G196)</f>
        <v/>
      </c>
      <c r="I196">
        <f>IF(OR(A196="",F196=""),"",IF(H196&lt;=0.004,"Paid",IF(AND(E196&lt;&gt;"",TODAY()&gt;E196),"Overdue",IF(G196&gt;0,"Partial","Open"))))</f>
        <v/>
      </c>
      <c r="J196">
        <f>IF(I196="Overdue",TODAY()-E196,"")</f>
        <v/>
      </c>
    </row>
    <row r="197">
      <c r="A197" s="16" t="n"/>
      <c r="B197" s="16" t="n"/>
      <c r="C197" s="15" t="n"/>
      <c r="D197" s="16" t="n"/>
      <c r="E197" s="20">
        <f>IF(OR(C197="",D197=""),"",C197+D197)</f>
        <v/>
      </c>
      <c r="F197" s="18" t="n"/>
      <c r="G197" s="6">
        <f>IF(A197="","",SUMIFS(Income!$E$5:$E$504,Income!$C$5:$C$504,A197))</f>
        <v/>
      </c>
      <c r="H197" s="6">
        <f>IF(OR(A197="",F197=""),"",F197-G197)</f>
        <v/>
      </c>
      <c r="I197">
        <f>IF(OR(A197="",F197=""),"",IF(H197&lt;=0.004,"Paid",IF(AND(E197&lt;&gt;"",TODAY()&gt;E197),"Overdue",IF(G197&gt;0,"Partial","Open"))))</f>
        <v/>
      </c>
      <c r="J197">
        <f>IF(I197="Overdue",TODAY()-E197,"")</f>
        <v/>
      </c>
    </row>
    <row r="198">
      <c r="A198" s="16" t="n"/>
      <c r="B198" s="16" t="n"/>
      <c r="C198" s="15" t="n"/>
      <c r="D198" s="16" t="n"/>
      <c r="E198" s="20">
        <f>IF(OR(C198="",D198=""),"",C198+D198)</f>
        <v/>
      </c>
      <c r="F198" s="18" t="n"/>
      <c r="G198" s="6">
        <f>IF(A198="","",SUMIFS(Income!$E$5:$E$504,Income!$C$5:$C$504,A198))</f>
        <v/>
      </c>
      <c r="H198" s="6">
        <f>IF(OR(A198="",F198=""),"",F198-G198)</f>
        <v/>
      </c>
      <c r="I198">
        <f>IF(OR(A198="",F198=""),"",IF(H198&lt;=0.004,"Paid",IF(AND(E198&lt;&gt;"",TODAY()&gt;E198),"Overdue",IF(G198&gt;0,"Partial","Open"))))</f>
        <v/>
      </c>
      <c r="J198">
        <f>IF(I198="Overdue",TODAY()-E198,"")</f>
        <v/>
      </c>
    </row>
    <row r="199">
      <c r="A199" s="16" t="n"/>
      <c r="B199" s="16" t="n"/>
      <c r="C199" s="15" t="n"/>
      <c r="D199" s="16" t="n"/>
      <c r="E199" s="20">
        <f>IF(OR(C199="",D199=""),"",C199+D199)</f>
        <v/>
      </c>
      <c r="F199" s="18" t="n"/>
      <c r="G199" s="6">
        <f>IF(A199="","",SUMIFS(Income!$E$5:$E$504,Income!$C$5:$C$504,A199))</f>
        <v/>
      </c>
      <c r="H199" s="6">
        <f>IF(OR(A199="",F199=""),"",F199-G199)</f>
        <v/>
      </c>
      <c r="I199">
        <f>IF(OR(A199="",F199=""),"",IF(H199&lt;=0.004,"Paid",IF(AND(E199&lt;&gt;"",TODAY()&gt;E199),"Overdue",IF(G199&gt;0,"Partial","Open"))))</f>
        <v/>
      </c>
      <c r="J199">
        <f>IF(I199="Overdue",TODAY()-E199,"")</f>
        <v/>
      </c>
    </row>
    <row r="200">
      <c r="A200" s="16" t="n"/>
      <c r="B200" s="16" t="n"/>
      <c r="C200" s="15" t="n"/>
      <c r="D200" s="16" t="n"/>
      <c r="E200" s="20">
        <f>IF(OR(C200="",D200=""),"",C200+D200)</f>
        <v/>
      </c>
      <c r="F200" s="18" t="n"/>
      <c r="G200" s="6">
        <f>IF(A200="","",SUMIFS(Income!$E$5:$E$504,Income!$C$5:$C$504,A200))</f>
        <v/>
      </c>
      <c r="H200" s="6">
        <f>IF(OR(A200="",F200=""),"",F200-G200)</f>
        <v/>
      </c>
      <c r="I200">
        <f>IF(OR(A200="",F200=""),"",IF(H200&lt;=0.004,"Paid",IF(AND(E200&lt;&gt;"",TODAY()&gt;E200),"Overdue",IF(G200&gt;0,"Partial","Open"))))</f>
        <v/>
      </c>
      <c r="J200">
        <f>IF(I200="Overdue",TODAY()-E200,"")</f>
        <v/>
      </c>
    </row>
    <row r="201">
      <c r="A201" s="16" t="n"/>
      <c r="B201" s="16" t="n"/>
      <c r="C201" s="15" t="n"/>
      <c r="D201" s="16" t="n"/>
      <c r="E201" s="20">
        <f>IF(OR(C201="",D201=""),"",C201+D201)</f>
        <v/>
      </c>
      <c r="F201" s="18" t="n"/>
      <c r="G201" s="6">
        <f>IF(A201="","",SUMIFS(Income!$E$5:$E$504,Income!$C$5:$C$504,A201))</f>
        <v/>
      </c>
      <c r="H201" s="6">
        <f>IF(OR(A201="",F201=""),"",F201-G201)</f>
        <v/>
      </c>
      <c r="I201">
        <f>IF(OR(A201="",F201=""),"",IF(H201&lt;=0.004,"Paid",IF(AND(E201&lt;&gt;"",TODAY()&gt;E201),"Overdue",IF(G201&gt;0,"Partial","Open"))))</f>
        <v/>
      </c>
      <c r="J201">
        <f>IF(I201="Overdue",TODAY()-E201,"")</f>
        <v/>
      </c>
    </row>
    <row r="202">
      <c r="A202" s="16" t="n"/>
      <c r="B202" s="16" t="n"/>
      <c r="C202" s="15" t="n"/>
      <c r="D202" s="16" t="n"/>
      <c r="E202" s="20">
        <f>IF(OR(C202="",D202=""),"",C202+D202)</f>
        <v/>
      </c>
      <c r="F202" s="18" t="n"/>
      <c r="G202" s="6">
        <f>IF(A202="","",SUMIFS(Income!$E$5:$E$504,Income!$C$5:$C$504,A202))</f>
        <v/>
      </c>
      <c r="H202" s="6">
        <f>IF(OR(A202="",F202=""),"",F202-G202)</f>
        <v/>
      </c>
      <c r="I202">
        <f>IF(OR(A202="",F202=""),"",IF(H202&lt;=0.004,"Paid",IF(AND(E202&lt;&gt;"",TODAY()&gt;E202),"Overdue",IF(G202&gt;0,"Partial","Open"))))</f>
        <v/>
      </c>
      <c r="J202">
        <f>IF(I202="Overdue",TODAY()-E202,"")</f>
        <v/>
      </c>
    </row>
    <row r="203">
      <c r="A203" s="16" t="n"/>
      <c r="B203" s="16" t="n"/>
      <c r="C203" s="15" t="n"/>
      <c r="D203" s="16" t="n"/>
      <c r="E203" s="20">
        <f>IF(OR(C203="",D203=""),"",C203+D203)</f>
        <v/>
      </c>
      <c r="F203" s="18" t="n"/>
      <c r="G203" s="6">
        <f>IF(A203="","",SUMIFS(Income!$E$5:$E$504,Income!$C$5:$C$504,A203))</f>
        <v/>
      </c>
      <c r="H203" s="6">
        <f>IF(OR(A203="",F203=""),"",F203-G203)</f>
        <v/>
      </c>
      <c r="I203">
        <f>IF(OR(A203="",F203=""),"",IF(H203&lt;=0.004,"Paid",IF(AND(E203&lt;&gt;"",TODAY()&gt;E203),"Overdue",IF(G203&gt;0,"Partial","Open"))))</f>
        <v/>
      </c>
      <c r="J203">
        <f>IF(I203="Overdue",TODAY()-E203,"")</f>
        <v/>
      </c>
    </row>
    <row r="204">
      <c r="A204" s="16" t="n"/>
      <c r="B204" s="16" t="n"/>
      <c r="C204" s="15" t="n"/>
      <c r="D204" s="16" t="n"/>
      <c r="E204" s="20">
        <f>IF(OR(C204="",D204=""),"",C204+D204)</f>
        <v/>
      </c>
      <c r="F204" s="18" t="n"/>
      <c r="G204" s="6">
        <f>IF(A204="","",SUMIFS(Income!$E$5:$E$504,Income!$C$5:$C$504,A204))</f>
        <v/>
      </c>
      <c r="H204" s="6">
        <f>IF(OR(A204="",F204=""),"",F204-G204)</f>
        <v/>
      </c>
      <c r="I204">
        <f>IF(OR(A204="",F204=""),"",IF(H204&lt;=0.004,"Paid",IF(AND(E204&lt;&gt;"",TODAY()&gt;E204),"Overdue",IF(G204&gt;0,"Partial","Open"))))</f>
        <v/>
      </c>
      <c r="J204">
        <f>IF(I204="Overdue",TODAY()-E204,"")</f>
        <v/>
      </c>
    </row>
    <row r="205">
      <c r="A205" s="16" t="n"/>
      <c r="B205" s="16" t="n"/>
      <c r="C205" s="15" t="n"/>
      <c r="D205" s="16" t="n"/>
      <c r="E205" s="20">
        <f>IF(OR(C205="",D205=""),"",C205+D205)</f>
        <v/>
      </c>
      <c r="F205" s="18" t="n"/>
      <c r="G205" s="6">
        <f>IF(A205="","",SUMIFS(Income!$E$5:$E$504,Income!$C$5:$C$504,A205))</f>
        <v/>
      </c>
      <c r="H205" s="6">
        <f>IF(OR(A205="",F205=""),"",F205-G205)</f>
        <v/>
      </c>
      <c r="I205">
        <f>IF(OR(A205="",F205=""),"",IF(H205&lt;=0.004,"Paid",IF(AND(E205&lt;&gt;"",TODAY()&gt;E205),"Overdue",IF(G205&gt;0,"Partial","Open"))))</f>
        <v/>
      </c>
      <c r="J205">
        <f>IF(I205="Overdue",TODAY()-E205,"")</f>
        <v/>
      </c>
    </row>
    <row r="206">
      <c r="A206" s="16" t="n"/>
      <c r="B206" s="16" t="n"/>
      <c r="C206" s="15" t="n"/>
      <c r="D206" s="16" t="n"/>
      <c r="E206" s="20">
        <f>IF(OR(C206="",D206=""),"",C206+D206)</f>
        <v/>
      </c>
      <c r="F206" s="18" t="n"/>
      <c r="G206" s="6">
        <f>IF(A206="","",SUMIFS(Income!$E$5:$E$504,Income!$C$5:$C$504,A206))</f>
        <v/>
      </c>
      <c r="H206" s="6">
        <f>IF(OR(A206="",F206=""),"",F206-G206)</f>
        <v/>
      </c>
      <c r="I206">
        <f>IF(OR(A206="",F206=""),"",IF(H206&lt;=0.004,"Paid",IF(AND(E206&lt;&gt;"",TODAY()&gt;E206),"Overdue",IF(G206&gt;0,"Partial","Open"))))</f>
        <v/>
      </c>
      <c r="J206">
        <f>IF(I206="Overdue",TODAY()-E206,"")</f>
        <v/>
      </c>
    </row>
    <row r="207">
      <c r="A207" s="16" t="n"/>
      <c r="B207" s="16" t="n"/>
      <c r="C207" s="15" t="n"/>
      <c r="D207" s="16" t="n"/>
      <c r="E207" s="20">
        <f>IF(OR(C207="",D207=""),"",C207+D207)</f>
        <v/>
      </c>
      <c r="F207" s="18" t="n"/>
      <c r="G207" s="6">
        <f>IF(A207="","",SUMIFS(Income!$E$5:$E$504,Income!$C$5:$C$504,A207))</f>
        <v/>
      </c>
      <c r="H207" s="6">
        <f>IF(OR(A207="",F207=""),"",F207-G207)</f>
        <v/>
      </c>
      <c r="I207">
        <f>IF(OR(A207="",F207=""),"",IF(H207&lt;=0.004,"Paid",IF(AND(E207&lt;&gt;"",TODAY()&gt;E207),"Overdue",IF(G207&gt;0,"Partial","Open"))))</f>
        <v/>
      </c>
      <c r="J207">
        <f>IF(I207="Overdue",TODAY()-E207,"")</f>
        <v/>
      </c>
    </row>
    <row r="208">
      <c r="A208" s="16" t="n"/>
      <c r="B208" s="16" t="n"/>
      <c r="C208" s="15" t="n"/>
      <c r="D208" s="16" t="n"/>
      <c r="E208" s="20">
        <f>IF(OR(C208="",D208=""),"",C208+D208)</f>
        <v/>
      </c>
      <c r="F208" s="18" t="n"/>
      <c r="G208" s="6">
        <f>IF(A208="","",SUMIFS(Income!$E$5:$E$504,Income!$C$5:$C$504,A208))</f>
        <v/>
      </c>
      <c r="H208" s="6">
        <f>IF(OR(A208="",F208=""),"",F208-G208)</f>
        <v/>
      </c>
      <c r="I208">
        <f>IF(OR(A208="",F208=""),"",IF(H208&lt;=0.004,"Paid",IF(AND(E208&lt;&gt;"",TODAY()&gt;E208),"Overdue",IF(G208&gt;0,"Partial","Open"))))</f>
        <v/>
      </c>
      <c r="J208">
        <f>IF(I208="Overdue",TODAY()-E208,"")</f>
        <v/>
      </c>
    </row>
    <row r="209">
      <c r="A209" s="16" t="n"/>
      <c r="B209" s="16" t="n"/>
      <c r="C209" s="15" t="n"/>
      <c r="D209" s="16" t="n"/>
      <c r="E209" s="20">
        <f>IF(OR(C209="",D209=""),"",C209+D209)</f>
        <v/>
      </c>
      <c r="F209" s="18" t="n"/>
      <c r="G209" s="6">
        <f>IF(A209="","",SUMIFS(Income!$E$5:$E$504,Income!$C$5:$C$504,A209))</f>
        <v/>
      </c>
      <c r="H209" s="6">
        <f>IF(OR(A209="",F209=""),"",F209-G209)</f>
        <v/>
      </c>
      <c r="I209">
        <f>IF(OR(A209="",F209=""),"",IF(H209&lt;=0.004,"Paid",IF(AND(E209&lt;&gt;"",TODAY()&gt;E209),"Overdue",IF(G209&gt;0,"Partial","Open"))))</f>
        <v/>
      </c>
      <c r="J209">
        <f>IF(I209="Overdue",TODAY()-E209,"")</f>
        <v/>
      </c>
    </row>
    <row r="210">
      <c r="A210" s="16" t="n"/>
      <c r="B210" s="16" t="n"/>
      <c r="C210" s="15" t="n"/>
      <c r="D210" s="16" t="n"/>
      <c r="E210" s="20">
        <f>IF(OR(C210="",D210=""),"",C210+D210)</f>
        <v/>
      </c>
      <c r="F210" s="18" t="n"/>
      <c r="G210" s="6">
        <f>IF(A210="","",SUMIFS(Income!$E$5:$E$504,Income!$C$5:$C$504,A210))</f>
        <v/>
      </c>
      <c r="H210" s="6">
        <f>IF(OR(A210="",F210=""),"",F210-G210)</f>
        <v/>
      </c>
      <c r="I210">
        <f>IF(OR(A210="",F210=""),"",IF(H210&lt;=0.004,"Paid",IF(AND(E210&lt;&gt;"",TODAY()&gt;E210),"Overdue",IF(G210&gt;0,"Partial","Open"))))</f>
        <v/>
      </c>
      <c r="J210">
        <f>IF(I210="Overdue",TODAY()-E210,"")</f>
        <v/>
      </c>
    </row>
    <row r="211">
      <c r="A211" s="16" t="n"/>
      <c r="B211" s="16" t="n"/>
      <c r="C211" s="15" t="n"/>
      <c r="D211" s="16" t="n"/>
      <c r="E211" s="20">
        <f>IF(OR(C211="",D211=""),"",C211+D211)</f>
        <v/>
      </c>
      <c r="F211" s="18" t="n"/>
      <c r="G211" s="6">
        <f>IF(A211="","",SUMIFS(Income!$E$5:$E$504,Income!$C$5:$C$504,A211))</f>
        <v/>
      </c>
      <c r="H211" s="6">
        <f>IF(OR(A211="",F211=""),"",F211-G211)</f>
        <v/>
      </c>
      <c r="I211">
        <f>IF(OR(A211="",F211=""),"",IF(H211&lt;=0.004,"Paid",IF(AND(E211&lt;&gt;"",TODAY()&gt;E211),"Overdue",IF(G211&gt;0,"Partial","Open"))))</f>
        <v/>
      </c>
      <c r="J211">
        <f>IF(I211="Overdue",TODAY()-E211,"")</f>
        <v/>
      </c>
    </row>
    <row r="212">
      <c r="A212" s="16" t="n"/>
      <c r="B212" s="16" t="n"/>
      <c r="C212" s="15" t="n"/>
      <c r="D212" s="16" t="n"/>
      <c r="E212" s="20">
        <f>IF(OR(C212="",D212=""),"",C212+D212)</f>
        <v/>
      </c>
      <c r="F212" s="18" t="n"/>
      <c r="G212" s="6">
        <f>IF(A212="","",SUMIFS(Income!$E$5:$E$504,Income!$C$5:$C$504,A212))</f>
        <v/>
      </c>
      <c r="H212" s="6">
        <f>IF(OR(A212="",F212=""),"",F212-G212)</f>
        <v/>
      </c>
      <c r="I212">
        <f>IF(OR(A212="",F212=""),"",IF(H212&lt;=0.004,"Paid",IF(AND(E212&lt;&gt;"",TODAY()&gt;E212),"Overdue",IF(G212&gt;0,"Partial","Open"))))</f>
        <v/>
      </c>
      <c r="J212">
        <f>IF(I212="Overdue",TODAY()-E212,"")</f>
        <v/>
      </c>
    </row>
    <row r="213">
      <c r="A213" s="16" t="n"/>
      <c r="B213" s="16" t="n"/>
      <c r="C213" s="15" t="n"/>
      <c r="D213" s="16" t="n"/>
      <c r="E213" s="20">
        <f>IF(OR(C213="",D213=""),"",C213+D213)</f>
        <v/>
      </c>
      <c r="F213" s="18" t="n"/>
      <c r="G213" s="6">
        <f>IF(A213="","",SUMIFS(Income!$E$5:$E$504,Income!$C$5:$C$504,A213))</f>
        <v/>
      </c>
      <c r="H213" s="6">
        <f>IF(OR(A213="",F213=""),"",F213-G213)</f>
        <v/>
      </c>
      <c r="I213">
        <f>IF(OR(A213="",F213=""),"",IF(H213&lt;=0.004,"Paid",IF(AND(E213&lt;&gt;"",TODAY()&gt;E213),"Overdue",IF(G213&gt;0,"Partial","Open"))))</f>
        <v/>
      </c>
      <c r="J213">
        <f>IF(I213="Overdue",TODAY()-E213,"")</f>
        <v/>
      </c>
    </row>
    <row r="214">
      <c r="A214" s="16" t="n"/>
      <c r="B214" s="16" t="n"/>
      <c r="C214" s="15" t="n"/>
      <c r="D214" s="16" t="n"/>
      <c r="E214" s="20">
        <f>IF(OR(C214="",D214=""),"",C214+D214)</f>
        <v/>
      </c>
      <c r="F214" s="18" t="n"/>
      <c r="G214" s="6">
        <f>IF(A214="","",SUMIFS(Income!$E$5:$E$504,Income!$C$5:$C$504,A214))</f>
        <v/>
      </c>
      <c r="H214" s="6">
        <f>IF(OR(A214="",F214=""),"",F214-G214)</f>
        <v/>
      </c>
      <c r="I214">
        <f>IF(OR(A214="",F214=""),"",IF(H214&lt;=0.004,"Paid",IF(AND(E214&lt;&gt;"",TODAY()&gt;E214),"Overdue",IF(G214&gt;0,"Partial","Open"))))</f>
        <v/>
      </c>
      <c r="J214">
        <f>IF(I214="Overdue",TODAY()-E214,"")</f>
        <v/>
      </c>
    </row>
    <row r="215">
      <c r="A215" s="16" t="n"/>
      <c r="B215" s="16" t="n"/>
      <c r="C215" s="15" t="n"/>
      <c r="D215" s="16" t="n"/>
      <c r="E215" s="20">
        <f>IF(OR(C215="",D215=""),"",C215+D215)</f>
        <v/>
      </c>
      <c r="F215" s="18" t="n"/>
      <c r="G215" s="6">
        <f>IF(A215="","",SUMIFS(Income!$E$5:$E$504,Income!$C$5:$C$504,A215))</f>
        <v/>
      </c>
      <c r="H215" s="6">
        <f>IF(OR(A215="",F215=""),"",F215-G215)</f>
        <v/>
      </c>
      <c r="I215">
        <f>IF(OR(A215="",F215=""),"",IF(H215&lt;=0.004,"Paid",IF(AND(E215&lt;&gt;"",TODAY()&gt;E215),"Overdue",IF(G215&gt;0,"Partial","Open"))))</f>
        <v/>
      </c>
      <c r="J215">
        <f>IF(I215="Overdue",TODAY()-E215,"")</f>
        <v/>
      </c>
    </row>
    <row r="216">
      <c r="A216" s="16" t="n"/>
      <c r="B216" s="16" t="n"/>
      <c r="C216" s="15" t="n"/>
      <c r="D216" s="16" t="n"/>
      <c r="E216" s="20">
        <f>IF(OR(C216="",D216=""),"",C216+D216)</f>
        <v/>
      </c>
      <c r="F216" s="18" t="n"/>
      <c r="G216" s="6">
        <f>IF(A216="","",SUMIFS(Income!$E$5:$E$504,Income!$C$5:$C$504,A216))</f>
        <v/>
      </c>
      <c r="H216" s="6">
        <f>IF(OR(A216="",F216=""),"",F216-G216)</f>
        <v/>
      </c>
      <c r="I216">
        <f>IF(OR(A216="",F216=""),"",IF(H216&lt;=0.004,"Paid",IF(AND(E216&lt;&gt;"",TODAY()&gt;E216),"Overdue",IF(G216&gt;0,"Partial","Open"))))</f>
        <v/>
      </c>
      <c r="J216">
        <f>IF(I216="Overdue",TODAY()-E216,"")</f>
        <v/>
      </c>
    </row>
    <row r="217">
      <c r="A217" s="16" t="n"/>
      <c r="B217" s="16" t="n"/>
      <c r="C217" s="15" t="n"/>
      <c r="D217" s="16" t="n"/>
      <c r="E217" s="20">
        <f>IF(OR(C217="",D217=""),"",C217+D217)</f>
        <v/>
      </c>
      <c r="F217" s="18" t="n"/>
      <c r="G217" s="6">
        <f>IF(A217="","",SUMIFS(Income!$E$5:$E$504,Income!$C$5:$C$504,A217))</f>
        <v/>
      </c>
      <c r="H217" s="6">
        <f>IF(OR(A217="",F217=""),"",F217-G217)</f>
        <v/>
      </c>
      <c r="I217">
        <f>IF(OR(A217="",F217=""),"",IF(H217&lt;=0.004,"Paid",IF(AND(E217&lt;&gt;"",TODAY()&gt;E217),"Overdue",IF(G217&gt;0,"Partial","Open"))))</f>
        <v/>
      </c>
      <c r="J217">
        <f>IF(I217="Overdue",TODAY()-E217,"")</f>
        <v/>
      </c>
    </row>
    <row r="218">
      <c r="A218" s="16" t="n"/>
      <c r="B218" s="16" t="n"/>
      <c r="C218" s="15" t="n"/>
      <c r="D218" s="16" t="n"/>
      <c r="E218" s="20">
        <f>IF(OR(C218="",D218=""),"",C218+D218)</f>
        <v/>
      </c>
      <c r="F218" s="18" t="n"/>
      <c r="G218" s="6">
        <f>IF(A218="","",SUMIFS(Income!$E$5:$E$504,Income!$C$5:$C$504,A218))</f>
        <v/>
      </c>
      <c r="H218" s="6">
        <f>IF(OR(A218="",F218=""),"",F218-G218)</f>
        <v/>
      </c>
      <c r="I218">
        <f>IF(OR(A218="",F218=""),"",IF(H218&lt;=0.004,"Paid",IF(AND(E218&lt;&gt;"",TODAY()&gt;E218),"Overdue",IF(G218&gt;0,"Partial","Open"))))</f>
        <v/>
      </c>
      <c r="J218">
        <f>IF(I218="Overdue",TODAY()-E218,"")</f>
        <v/>
      </c>
    </row>
    <row r="219">
      <c r="A219" s="16" t="n"/>
      <c r="B219" s="16" t="n"/>
      <c r="C219" s="15" t="n"/>
      <c r="D219" s="16" t="n"/>
      <c r="E219" s="20">
        <f>IF(OR(C219="",D219=""),"",C219+D219)</f>
        <v/>
      </c>
      <c r="F219" s="18" t="n"/>
      <c r="G219" s="6">
        <f>IF(A219="","",SUMIFS(Income!$E$5:$E$504,Income!$C$5:$C$504,A219))</f>
        <v/>
      </c>
      <c r="H219" s="6">
        <f>IF(OR(A219="",F219=""),"",F219-G219)</f>
        <v/>
      </c>
      <c r="I219">
        <f>IF(OR(A219="",F219=""),"",IF(H219&lt;=0.004,"Paid",IF(AND(E219&lt;&gt;"",TODAY()&gt;E219),"Overdue",IF(G219&gt;0,"Partial","Open"))))</f>
        <v/>
      </c>
      <c r="J219">
        <f>IF(I219="Overdue",TODAY()-E219,"")</f>
        <v/>
      </c>
    </row>
    <row r="220">
      <c r="A220" s="16" t="n"/>
      <c r="B220" s="16" t="n"/>
      <c r="C220" s="15" t="n"/>
      <c r="D220" s="16" t="n"/>
      <c r="E220" s="20">
        <f>IF(OR(C220="",D220=""),"",C220+D220)</f>
        <v/>
      </c>
      <c r="F220" s="18" t="n"/>
      <c r="G220" s="6">
        <f>IF(A220="","",SUMIFS(Income!$E$5:$E$504,Income!$C$5:$C$504,A220))</f>
        <v/>
      </c>
      <c r="H220" s="6">
        <f>IF(OR(A220="",F220=""),"",F220-G220)</f>
        <v/>
      </c>
      <c r="I220">
        <f>IF(OR(A220="",F220=""),"",IF(H220&lt;=0.004,"Paid",IF(AND(E220&lt;&gt;"",TODAY()&gt;E220),"Overdue",IF(G220&gt;0,"Partial","Open"))))</f>
        <v/>
      </c>
      <c r="J220">
        <f>IF(I220="Overdue",TODAY()-E220,"")</f>
        <v/>
      </c>
    </row>
    <row r="221">
      <c r="A221" s="16" t="n"/>
      <c r="B221" s="16" t="n"/>
      <c r="C221" s="15" t="n"/>
      <c r="D221" s="16" t="n"/>
      <c r="E221" s="20">
        <f>IF(OR(C221="",D221=""),"",C221+D221)</f>
        <v/>
      </c>
      <c r="F221" s="18" t="n"/>
      <c r="G221" s="6">
        <f>IF(A221="","",SUMIFS(Income!$E$5:$E$504,Income!$C$5:$C$504,A221))</f>
        <v/>
      </c>
      <c r="H221" s="6">
        <f>IF(OR(A221="",F221=""),"",F221-G221)</f>
        <v/>
      </c>
      <c r="I221">
        <f>IF(OR(A221="",F221=""),"",IF(H221&lt;=0.004,"Paid",IF(AND(E221&lt;&gt;"",TODAY()&gt;E221),"Overdue",IF(G221&gt;0,"Partial","Open"))))</f>
        <v/>
      </c>
      <c r="J221">
        <f>IF(I221="Overdue",TODAY()-E221,"")</f>
        <v/>
      </c>
    </row>
    <row r="222">
      <c r="A222" s="16" t="n"/>
      <c r="B222" s="16" t="n"/>
      <c r="C222" s="15" t="n"/>
      <c r="D222" s="16" t="n"/>
      <c r="E222" s="20">
        <f>IF(OR(C222="",D222=""),"",C222+D222)</f>
        <v/>
      </c>
      <c r="F222" s="18" t="n"/>
      <c r="G222" s="6">
        <f>IF(A222="","",SUMIFS(Income!$E$5:$E$504,Income!$C$5:$C$504,A222))</f>
        <v/>
      </c>
      <c r="H222" s="6">
        <f>IF(OR(A222="",F222=""),"",F222-G222)</f>
        <v/>
      </c>
      <c r="I222">
        <f>IF(OR(A222="",F222=""),"",IF(H222&lt;=0.004,"Paid",IF(AND(E222&lt;&gt;"",TODAY()&gt;E222),"Overdue",IF(G222&gt;0,"Partial","Open"))))</f>
        <v/>
      </c>
      <c r="J222">
        <f>IF(I222="Overdue",TODAY()-E222,"")</f>
        <v/>
      </c>
    </row>
    <row r="223">
      <c r="A223" s="16" t="n"/>
      <c r="B223" s="16" t="n"/>
      <c r="C223" s="15" t="n"/>
      <c r="D223" s="16" t="n"/>
      <c r="E223" s="20">
        <f>IF(OR(C223="",D223=""),"",C223+D223)</f>
        <v/>
      </c>
      <c r="F223" s="18" t="n"/>
      <c r="G223" s="6">
        <f>IF(A223="","",SUMIFS(Income!$E$5:$E$504,Income!$C$5:$C$504,A223))</f>
        <v/>
      </c>
      <c r="H223" s="6">
        <f>IF(OR(A223="",F223=""),"",F223-G223)</f>
        <v/>
      </c>
      <c r="I223">
        <f>IF(OR(A223="",F223=""),"",IF(H223&lt;=0.004,"Paid",IF(AND(E223&lt;&gt;"",TODAY()&gt;E223),"Overdue",IF(G223&gt;0,"Partial","Open"))))</f>
        <v/>
      </c>
      <c r="J223">
        <f>IF(I223="Overdue",TODAY()-E223,"")</f>
        <v/>
      </c>
    </row>
    <row r="224">
      <c r="A224" s="16" t="n"/>
      <c r="B224" s="16" t="n"/>
      <c r="C224" s="15" t="n"/>
      <c r="D224" s="16" t="n"/>
      <c r="E224" s="20">
        <f>IF(OR(C224="",D224=""),"",C224+D224)</f>
        <v/>
      </c>
      <c r="F224" s="18" t="n"/>
      <c r="G224" s="6">
        <f>IF(A224="","",SUMIFS(Income!$E$5:$E$504,Income!$C$5:$C$504,A224))</f>
        <v/>
      </c>
      <c r="H224" s="6">
        <f>IF(OR(A224="",F224=""),"",F224-G224)</f>
        <v/>
      </c>
      <c r="I224">
        <f>IF(OR(A224="",F224=""),"",IF(H224&lt;=0.004,"Paid",IF(AND(E224&lt;&gt;"",TODAY()&gt;E224),"Overdue",IF(G224&gt;0,"Partial","Open"))))</f>
        <v/>
      </c>
      <c r="J224">
        <f>IF(I224="Overdue",TODAY()-E224,"")</f>
        <v/>
      </c>
    </row>
    <row r="225">
      <c r="A225" s="16" t="n"/>
      <c r="B225" s="16" t="n"/>
      <c r="C225" s="15" t="n"/>
      <c r="D225" s="16" t="n"/>
      <c r="E225" s="20">
        <f>IF(OR(C225="",D225=""),"",C225+D225)</f>
        <v/>
      </c>
      <c r="F225" s="18" t="n"/>
      <c r="G225" s="6">
        <f>IF(A225="","",SUMIFS(Income!$E$5:$E$504,Income!$C$5:$C$504,A225))</f>
        <v/>
      </c>
      <c r="H225" s="6">
        <f>IF(OR(A225="",F225=""),"",F225-G225)</f>
        <v/>
      </c>
      <c r="I225">
        <f>IF(OR(A225="",F225=""),"",IF(H225&lt;=0.004,"Paid",IF(AND(E225&lt;&gt;"",TODAY()&gt;E225),"Overdue",IF(G225&gt;0,"Partial","Open"))))</f>
        <v/>
      </c>
      <c r="J225">
        <f>IF(I225="Overdue",TODAY()-E225,"")</f>
        <v/>
      </c>
    </row>
    <row r="226">
      <c r="A226" s="16" t="n"/>
      <c r="B226" s="16" t="n"/>
      <c r="C226" s="15" t="n"/>
      <c r="D226" s="16" t="n"/>
      <c r="E226" s="20">
        <f>IF(OR(C226="",D226=""),"",C226+D226)</f>
        <v/>
      </c>
      <c r="F226" s="18" t="n"/>
      <c r="G226" s="6">
        <f>IF(A226="","",SUMIFS(Income!$E$5:$E$504,Income!$C$5:$C$504,A226))</f>
        <v/>
      </c>
      <c r="H226" s="6">
        <f>IF(OR(A226="",F226=""),"",F226-G226)</f>
        <v/>
      </c>
      <c r="I226">
        <f>IF(OR(A226="",F226=""),"",IF(H226&lt;=0.004,"Paid",IF(AND(E226&lt;&gt;"",TODAY()&gt;E226),"Overdue",IF(G226&gt;0,"Partial","Open"))))</f>
        <v/>
      </c>
      <c r="J226">
        <f>IF(I226="Overdue",TODAY()-E226,"")</f>
        <v/>
      </c>
    </row>
    <row r="227">
      <c r="A227" s="16" t="n"/>
      <c r="B227" s="16" t="n"/>
      <c r="C227" s="15" t="n"/>
      <c r="D227" s="16" t="n"/>
      <c r="E227" s="20">
        <f>IF(OR(C227="",D227=""),"",C227+D227)</f>
        <v/>
      </c>
      <c r="F227" s="18" t="n"/>
      <c r="G227" s="6">
        <f>IF(A227="","",SUMIFS(Income!$E$5:$E$504,Income!$C$5:$C$504,A227))</f>
        <v/>
      </c>
      <c r="H227" s="6">
        <f>IF(OR(A227="",F227=""),"",F227-G227)</f>
        <v/>
      </c>
      <c r="I227">
        <f>IF(OR(A227="",F227=""),"",IF(H227&lt;=0.004,"Paid",IF(AND(E227&lt;&gt;"",TODAY()&gt;E227),"Overdue",IF(G227&gt;0,"Partial","Open"))))</f>
        <v/>
      </c>
      <c r="J227">
        <f>IF(I227="Overdue",TODAY()-E227,"")</f>
        <v/>
      </c>
    </row>
    <row r="228">
      <c r="A228" s="16" t="n"/>
      <c r="B228" s="16" t="n"/>
      <c r="C228" s="15" t="n"/>
      <c r="D228" s="16" t="n"/>
      <c r="E228" s="20">
        <f>IF(OR(C228="",D228=""),"",C228+D228)</f>
        <v/>
      </c>
      <c r="F228" s="18" t="n"/>
      <c r="G228" s="6">
        <f>IF(A228="","",SUMIFS(Income!$E$5:$E$504,Income!$C$5:$C$504,A228))</f>
        <v/>
      </c>
      <c r="H228" s="6">
        <f>IF(OR(A228="",F228=""),"",F228-G228)</f>
        <v/>
      </c>
      <c r="I228">
        <f>IF(OR(A228="",F228=""),"",IF(H228&lt;=0.004,"Paid",IF(AND(E228&lt;&gt;"",TODAY()&gt;E228),"Overdue",IF(G228&gt;0,"Partial","Open"))))</f>
        <v/>
      </c>
      <c r="J228">
        <f>IF(I228="Overdue",TODAY()-E228,"")</f>
        <v/>
      </c>
    </row>
    <row r="229">
      <c r="A229" s="16" t="n"/>
      <c r="B229" s="16" t="n"/>
      <c r="C229" s="15" t="n"/>
      <c r="D229" s="16" t="n"/>
      <c r="E229" s="20">
        <f>IF(OR(C229="",D229=""),"",C229+D229)</f>
        <v/>
      </c>
      <c r="F229" s="18" t="n"/>
      <c r="G229" s="6">
        <f>IF(A229="","",SUMIFS(Income!$E$5:$E$504,Income!$C$5:$C$504,A229))</f>
        <v/>
      </c>
      <c r="H229" s="6">
        <f>IF(OR(A229="",F229=""),"",F229-G229)</f>
        <v/>
      </c>
      <c r="I229">
        <f>IF(OR(A229="",F229=""),"",IF(H229&lt;=0.004,"Paid",IF(AND(E229&lt;&gt;"",TODAY()&gt;E229),"Overdue",IF(G229&gt;0,"Partial","Open"))))</f>
        <v/>
      </c>
      <c r="J229">
        <f>IF(I229="Overdue",TODAY()-E229,"")</f>
        <v/>
      </c>
    </row>
    <row r="230">
      <c r="A230" s="16" t="n"/>
      <c r="B230" s="16" t="n"/>
      <c r="C230" s="15" t="n"/>
      <c r="D230" s="16" t="n"/>
      <c r="E230" s="20">
        <f>IF(OR(C230="",D230=""),"",C230+D230)</f>
        <v/>
      </c>
      <c r="F230" s="18" t="n"/>
      <c r="G230" s="6">
        <f>IF(A230="","",SUMIFS(Income!$E$5:$E$504,Income!$C$5:$C$504,A230))</f>
        <v/>
      </c>
      <c r="H230" s="6">
        <f>IF(OR(A230="",F230=""),"",F230-G230)</f>
        <v/>
      </c>
      <c r="I230">
        <f>IF(OR(A230="",F230=""),"",IF(H230&lt;=0.004,"Paid",IF(AND(E230&lt;&gt;"",TODAY()&gt;E230),"Overdue",IF(G230&gt;0,"Partial","Open"))))</f>
        <v/>
      </c>
      <c r="J230">
        <f>IF(I230="Overdue",TODAY()-E230,"")</f>
        <v/>
      </c>
    </row>
    <row r="231">
      <c r="A231" s="16" t="n"/>
      <c r="B231" s="16" t="n"/>
      <c r="C231" s="15" t="n"/>
      <c r="D231" s="16" t="n"/>
      <c r="E231" s="20">
        <f>IF(OR(C231="",D231=""),"",C231+D231)</f>
        <v/>
      </c>
      <c r="F231" s="18" t="n"/>
      <c r="G231" s="6">
        <f>IF(A231="","",SUMIFS(Income!$E$5:$E$504,Income!$C$5:$C$504,A231))</f>
        <v/>
      </c>
      <c r="H231" s="6">
        <f>IF(OR(A231="",F231=""),"",F231-G231)</f>
        <v/>
      </c>
      <c r="I231">
        <f>IF(OR(A231="",F231=""),"",IF(H231&lt;=0.004,"Paid",IF(AND(E231&lt;&gt;"",TODAY()&gt;E231),"Overdue",IF(G231&gt;0,"Partial","Open"))))</f>
        <v/>
      </c>
      <c r="J231">
        <f>IF(I231="Overdue",TODAY()-E231,"")</f>
        <v/>
      </c>
    </row>
    <row r="232">
      <c r="A232" s="16" t="n"/>
      <c r="B232" s="16" t="n"/>
      <c r="C232" s="15" t="n"/>
      <c r="D232" s="16" t="n"/>
      <c r="E232" s="20">
        <f>IF(OR(C232="",D232=""),"",C232+D232)</f>
        <v/>
      </c>
      <c r="F232" s="18" t="n"/>
      <c r="G232" s="6">
        <f>IF(A232="","",SUMIFS(Income!$E$5:$E$504,Income!$C$5:$C$504,A232))</f>
        <v/>
      </c>
      <c r="H232" s="6">
        <f>IF(OR(A232="",F232=""),"",F232-G232)</f>
        <v/>
      </c>
      <c r="I232">
        <f>IF(OR(A232="",F232=""),"",IF(H232&lt;=0.004,"Paid",IF(AND(E232&lt;&gt;"",TODAY()&gt;E232),"Overdue",IF(G232&gt;0,"Partial","Open"))))</f>
        <v/>
      </c>
      <c r="J232">
        <f>IF(I232="Overdue",TODAY()-E232,"")</f>
        <v/>
      </c>
    </row>
    <row r="233">
      <c r="A233" s="16" t="n"/>
      <c r="B233" s="16" t="n"/>
      <c r="C233" s="15" t="n"/>
      <c r="D233" s="16" t="n"/>
      <c r="E233" s="20">
        <f>IF(OR(C233="",D233=""),"",C233+D233)</f>
        <v/>
      </c>
      <c r="F233" s="18" t="n"/>
      <c r="G233" s="6">
        <f>IF(A233="","",SUMIFS(Income!$E$5:$E$504,Income!$C$5:$C$504,A233))</f>
        <v/>
      </c>
      <c r="H233" s="6">
        <f>IF(OR(A233="",F233=""),"",F233-G233)</f>
        <v/>
      </c>
      <c r="I233">
        <f>IF(OR(A233="",F233=""),"",IF(H233&lt;=0.004,"Paid",IF(AND(E233&lt;&gt;"",TODAY()&gt;E233),"Overdue",IF(G233&gt;0,"Partial","Open"))))</f>
        <v/>
      </c>
      <c r="J233">
        <f>IF(I233="Overdue",TODAY()-E233,"")</f>
        <v/>
      </c>
    </row>
    <row r="234">
      <c r="A234" s="16" t="n"/>
      <c r="B234" s="16" t="n"/>
      <c r="C234" s="15" t="n"/>
      <c r="D234" s="16" t="n"/>
      <c r="E234" s="20">
        <f>IF(OR(C234="",D234=""),"",C234+D234)</f>
        <v/>
      </c>
      <c r="F234" s="18" t="n"/>
      <c r="G234" s="6">
        <f>IF(A234="","",SUMIFS(Income!$E$5:$E$504,Income!$C$5:$C$504,A234))</f>
        <v/>
      </c>
      <c r="H234" s="6">
        <f>IF(OR(A234="",F234=""),"",F234-G234)</f>
        <v/>
      </c>
      <c r="I234">
        <f>IF(OR(A234="",F234=""),"",IF(H234&lt;=0.004,"Paid",IF(AND(E234&lt;&gt;"",TODAY()&gt;E234),"Overdue",IF(G234&gt;0,"Partial","Open"))))</f>
        <v/>
      </c>
      <c r="J234">
        <f>IF(I234="Overdue",TODAY()-E234,"")</f>
        <v/>
      </c>
    </row>
    <row r="235">
      <c r="A235" s="16" t="n"/>
      <c r="B235" s="16" t="n"/>
      <c r="C235" s="15" t="n"/>
      <c r="D235" s="16" t="n"/>
      <c r="E235" s="20">
        <f>IF(OR(C235="",D235=""),"",C235+D235)</f>
        <v/>
      </c>
      <c r="F235" s="18" t="n"/>
      <c r="G235" s="6">
        <f>IF(A235="","",SUMIFS(Income!$E$5:$E$504,Income!$C$5:$C$504,A235))</f>
        <v/>
      </c>
      <c r="H235" s="6">
        <f>IF(OR(A235="",F235=""),"",F235-G235)</f>
        <v/>
      </c>
      <c r="I235">
        <f>IF(OR(A235="",F235=""),"",IF(H235&lt;=0.004,"Paid",IF(AND(E235&lt;&gt;"",TODAY()&gt;E235),"Overdue",IF(G235&gt;0,"Partial","Open"))))</f>
        <v/>
      </c>
      <c r="J235">
        <f>IF(I235="Overdue",TODAY()-E235,"")</f>
        <v/>
      </c>
    </row>
    <row r="236">
      <c r="A236" s="16" t="n"/>
      <c r="B236" s="16" t="n"/>
      <c r="C236" s="15" t="n"/>
      <c r="D236" s="16" t="n"/>
      <c r="E236" s="20">
        <f>IF(OR(C236="",D236=""),"",C236+D236)</f>
        <v/>
      </c>
      <c r="F236" s="18" t="n"/>
      <c r="G236" s="6">
        <f>IF(A236="","",SUMIFS(Income!$E$5:$E$504,Income!$C$5:$C$504,A236))</f>
        <v/>
      </c>
      <c r="H236" s="6">
        <f>IF(OR(A236="",F236=""),"",F236-G236)</f>
        <v/>
      </c>
      <c r="I236">
        <f>IF(OR(A236="",F236=""),"",IF(H236&lt;=0.004,"Paid",IF(AND(E236&lt;&gt;"",TODAY()&gt;E236),"Overdue",IF(G236&gt;0,"Partial","Open"))))</f>
        <v/>
      </c>
      <c r="J236">
        <f>IF(I236="Overdue",TODAY()-E236,"")</f>
        <v/>
      </c>
    </row>
    <row r="237">
      <c r="A237" s="16" t="n"/>
      <c r="B237" s="16" t="n"/>
      <c r="C237" s="15" t="n"/>
      <c r="D237" s="16" t="n"/>
      <c r="E237" s="20">
        <f>IF(OR(C237="",D237=""),"",C237+D237)</f>
        <v/>
      </c>
      <c r="F237" s="18" t="n"/>
      <c r="G237" s="6">
        <f>IF(A237="","",SUMIFS(Income!$E$5:$E$504,Income!$C$5:$C$504,A237))</f>
        <v/>
      </c>
      <c r="H237" s="6">
        <f>IF(OR(A237="",F237=""),"",F237-G237)</f>
        <v/>
      </c>
      <c r="I237">
        <f>IF(OR(A237="",F237=""),"",IF(H237&lt;=0.004,"Paid",IF(AND(E237&lt;&gt;"",TODAY()&gt;E237),"Overdue",IF(G237&gt;0,"Partial","Open"))))</f>
        <v/>
      </c>
      <c r="J237">
        <f>IF(I237="Overdue",TODAY()-E237,"")</f>
        <v/>
      </c>
    </row>
    <row r="238">
      <c r="A238" s="16" t="n"/>
      <c r="B238" s="16" t="n"/>
      <c r="C238" s="15" t="n"/>
      <c r="D238" s="16" t="n"/>
      <c r="E238" s="20">
        <f>IF(OR(C238="",D238=""),"",C238+D238)</f>
        <v/>
      </c>
      <c r="F238" s="18" t="n"/>
      <c r="G238" s="6">
        <f>IF(A238="","",SUMIFS(Income!$E$5:$E$504,Income!$C$5:$C$504,A238))</f>
        <v/>
      </c>
      <c r="H238" s="6">
        <f>IF(OR(A238="",F238=""),"",F238-G238)</f>
        <v/>
      </c>
      <c r="I238">
        <f>IF(OR(A238="",F238=""),"",IF(H238&lt;=0.004,"Paid",IF(AND(E238&lt;&gt;"",TODAY()&gt;E238),"Overdue",IF(G238&gt;0,"Partial","Open"))))</f>
        <v/>
      </c>
      <c r="J238">
        <f>IF(I238="Overdue",TODAY()-E238,"")</f>
        <v/>
      </c>
    </row>
    <row r="239">
      <c r="A239" s="16" t="n"/>
      <c r="B239" s="16" t="n"/>
      <c r="C239" s="15" t="n"/>
      <c r="D239" s="16" t="n"/>
      <c r="E239" s="20">
        <f>IF(OR(C239="",D239=""),"",C239+D239)</f>
        <v/>
      </c>
      <c r="F239" s="18" t="n"/>
      <c r="G239" s="6">
        <f>IF(A239="","",SUMIFS(Income!$E$5:$E$504,Income!$C$5:$C$504,A239))</f>
        <v/>
      </c>
      <c r="H239" s="6">
        <f>IF(OR(A239="",F239=""),"",F239-G239)</f>
        <v/>
      </c>
      <c r="I239">
        <f>IF(OR(A239="",F239=""),"",IF(H239&lt;=0.004,"Paid",IF(AND(E239&lt;&gt;"",TODAY()&gt;E239),"Overdue",IF(G239&gt;0,"Partial","Open"))))</f>
        <v/>
      </c>
      <c r="J239">
        <f>IF(I239="Overdue",TODAY()-E239,"")</f>
        <v/>
      </c>
    </row>
    <row r="240">
      <c r="A240" s="16" t="n"/>
      <c r="B240" s="16" t="n"/>
      <c r="C240" s="15" t="n"/>
      <c r="D240" s="16" t="n"/>
      <c r="E240" s="20">
        <f>IF(OR(C240="",D240=""),"",C240+D240)</f>
        <v/>
      </c>
      <c r="F240" s="18" t="n"/>
      <c r="G240" s="6">
        <f>IF(A240="","",SUMIFS(Income!$E$5:$E$504,Income!$C$5:$C$504,A240))</f>
        <v/>
      </c>
      <c r="H240" s="6">
        <f>IF(OR(A240="",F240=""),"",F240-G240)</f>
        <v/>
      </c>
      <c r="I240">
        <f>IF(OR(A240="",F240=""),"",IF(H240&lt;=0.004,"Paid",IF(AND(E240&lt;&gt;"",TODAY()&gt;E240),"Overdue",IF(G240&gt;0,"Partial","Open"))))</f>
        <v/>
      </c>
      <c r="J240">
        <f>IF(I240="Overdue",TODAY()-E240,"")</f>
        <v/>
      </c>
    </row>
    <row r="241">
      <c r="A241" s="16" t="n"/>
      <c r="B241" s="16" t="n"/>
      <c r="C241" s="15" t="n"/>
      <c r="D241" s="16" t="n"/>
      <c r="E241" s="20">
        <f>IF(OR(C241="",D241=""),"",C241+D241)</f>
        <v/>
      </c>
      <c r="F241" s="18" t="n"/>
      <c r="G241" s="6">
        <f>IF(A241="","",SUMIFS(Income!$E$5:$E$504,Income!$C$5:$C$504,A241))</f>
        <v/>
      </c>
      <c r="H241" s="6">
        <f>IF(OR(A241="",F241=""),"",F241-G241)</f>
        <v/>
      </c>
      <c r="I241">
        <f>IF(OR(A241="",F241=""),"",IF(H241&lt;=0.004,"Paid",IF(AND(E241&lt;&gt;"",TODAY()&gt;E241),"Overdue",IF(G241&gt;0,"Partial","Open"))))</f>
        <v/>
      </c>
      <c r="J241">
        <f>IF(I241="Overdue",TODAY()-E241,"")</f>
        <v/>
      </c>
    </row>
    <row r="242">
      <c r="A242" s="16" t="n"/>
      <c r="B242" s="16" t="n"/>
      <c r="C242" s="15" t="n"/>
      <c r="D242" s="16" t="n"/>
      <c r="E242" s="20">
        <f>IF(OR(C242="",D242=""),"",C242+D242)</f>
        <v/>
      </c>
      <c r="F242" s="18" t="n"/>
      <c r="G242" s="6">
        <f>IF(A242="","",SUMIFS(Income!$E$5:$E$504,Income!$C$5:$C$504,A242))</f>
        <v/>
      </c>
      <c r="H242" s="6">
        <f>IF(OR(A242="",F242=""),"",F242-G242)</f>
        <v/>
      </c>
      <c r="I242">
        <f>IF(OR(A242="",F242=""),"",IF(H242&lt;=0.004,"Paid",IF(AND(E242&lt;&gt;"",TODAY()&gt;E242),"Overdue",IF(G242&gt;0,"Partial","Open"))))</f>
        <v/>
      </c>
      <c r="J242">
        <f>IF(I242="Overdue",TODAY()-E242,"")</f>
        <v/>
      </c>
    </row>
    <row r="243">
      <c r="A243" s="16" t="n"/>
      <c r="B243" s="16" t="n"/>
      <c r="C243" s="15" t="n"/>
      <c r="D243" s="16" t="n"/>
      <c r="E243" s="20">
        <f>IF(OR(C243="",D243=""),"",C243+D243)</f>
        <v/>
      </c>
      <c r="F243" s="18" t="n"/>
      <c r="G243" s="6">
        <f>IF(A243="","",SUMIFS(Income!$E$5:$E$504,Income!$C$5:$C$504,A243))</f>
        <v/>
      </c>
      <c r="H243" s="6">
        <f>IF(OR(A243="",F243=""),"",F243-G243)</f>
        <v/>
      </c>
      <c r="I243">
        <f>IF(OR(A243="",F243=""),"",IF(H243&lt;=0.004,"Paid",IF(AND(E243&lt;&gt;"",TODAY()&gt;E243),"Overdue",IF(G243&gt;0,"Partial","Open"))))</f>
        <v/>
      </c>
      <c r="J243">
        <f>IF(I243="Overdue",TODAY()-E243,"")</f>
        <v/>
      </c>
    </row>
    <row r="244">
      <c r="A244" s="16" t="n"/>
      <c r="B244" s="16" t="n"/>
      <c r="C244" s="15" t="n"/>
      <c r="D244" s="16" t="n"/>
      <c r="E244" s="20">
        <f>IF(OR(C244="",D244=""),"",C244+D244)</f>
        <v/>
      </c>
      <c r="F244" s="18" t="n"/>
      <c r="G244" s="6">
        <f>IF(A244="","",SUMIFS(Income!$E$5:$E$504,Income!$C$5:$C$504,A244))</f>
        <v/>
      </c>
      <c r="H244" s="6">
        <f>IF(OR(A244="",F244=""),"",F244-G244)</f>
        <v/>
      </c>
      <c r="I244">
        <f>IF(OR(A244="",F244=""),"",IF(H244&lt;=0.004,"Paid",IF(AND(E244&lt;&gt;"",TODAY()&gt;E244),"Overdue",IF(G244&gt;0,"Partial","Open"))))</f>
        <v/>
      </c>
      <c r="J244">
        <f>IF(I244="Overdue",TODAY()-E244,"")</f>
        <v/>
      </c>
    </row>
    <row r="245">
      <c r="A245" s="16" t="n"/>
      <c r="B245" s="16" t="n"/>
      <c r="C245" s="15" t="n"/>
      <c r="D245" s="16" t="n"/>
      <c r="E245" s="20">
        <f>IF(OR(C245="",D245=""),"",C245+D245)</f>
        <v/>
      </c>
      <c r="F245" s="18" t="n"/>
      <c r="G245" s="6">
        <f>IF(A245="","",SUMIFS(Income!$E$5:$E$504,Income!$C$5:$C$504,A245))</f>
        <v/>
      </c>
      <c r="H245" s="6">
        <f>IF(OR(A245="",F245=""),"",F245-G245)</f>
        <v/>
      </c>
      <c r="I245">
        <f>IF(OR(A245="",F245=""),"",IF(H245&lt;=0.004,"Paid",IF(AND(E245&lt;&gt;"",TODAY()&gt;E245),"Overdue",IF(G245&gt;0,"Partial","Open"))))</f>
        <v/>
      </c>
      <c r="J245">
        <f>IF(I245="Overdue",TODAY()-E245,"")</f>
        <v/>
      </c>
    </row>
    <row r="246">
      <c r="A246" s="16" t="n"/>
      <c r="B246" s="16" t="n"/>
      <c r="C246" s="15" t="n"/>
      <c r="D246" s="16" t="n"/>
      <c r="E246" s="20">
        <f>IF(OR(C246="",D246=""),"",C246+D246)</f>
        <v/>
      </c>
      <c r="F246" s="18" t="n"/>
      <c r="G246" s="6">
        <f>IF(A246="","",SUMIFS(Income!$E$5:$E$504,Income!$C$5:$C$504,A246))</f>
        <v/>
      </c>
      <c r="H246" s="6">
        <f>IF(OR(A246="",F246=""),"",F246-G246)</f>
        <v/>
      </c>
      <c r="I246">
        <f>IF(OR(A246="",F246=""),"",IF(H246&lt;=0.004,"Paid",IF(AND(E246&lt;&gt;"",TODAY()&gt;E246),"Overdue",IF(G246&gt;0,"Partial","Open"))))</f>
        <v/>
      </c>
      <c r="J246">
        <f>IF(I246="Overdue",TODAY()-E246,"")</f>
        <v/>
      </c>
    </row>
    <row r="247">
      <c r="A247" s="16" t="n"/>
      <c r="B247" s="16" t="n"/>
      <c r="C247" s="15" t="n"/>
      <c r="D247" s="16" t="n"/>
      <c r="E247" s="20">
        <f>IF(OR(C247="",D247=""),"",C247+D247)</f>
        <v/>
      </c>
      <c r="F247" s="18" t="n"/>
      <c r="G247" s="6">
        <f>IF(A247="","",SUMIFS(Income!$E$5:$E$504,Income!$C$5:$C$504,A247))</f>
        <v/>
      </c>
      <c r="H247" s="6">
        <f>IF(OR(A247="",F247=""),"",F247-G247)</f>
        <v/>
      </c>
      <c r="I247">
        <f>IF(OR(A247="",F247=""),"",IF(H247&lt;=0.004,"Paid",IF(AND(E247&lt;&gt;"",TODAY()&gt;E247),"Overdue",IF(G247&gt;0,"Partial","Open"))))</f>
        <v/>
      </c>
      <c r="J247">
        <f>IF(I247="Overdue",TODAY()-E247,"")</f>
        <v/>
      </c>
    </row>
    <row r="248">
      <c r="A248" s="16" t="n"/>
      <c r="B248" s="16" t="n"/>
      <c r="C248" s="15" t="n"/>
      <c r="D248" s="16" t="n"/>
      <c r="E248" s="20">
        <f>IF(OR(C248="",D248=""),"",C248+D248)</f>
        <v/>
      </c>
      <c r="F248" s="18" t="n"/>
      <c r="G248" s="6">
        <f>IF(A248="","",SUMIFS(Income!$E$5:$E$504,Income!$C$5:$C$504,A248))</f>
        <v/>
      </c>
      <c r="H248" s="6">
        <f>IF(OR(A248="",F248=""),"",F248-G248)</f>
        <v/>
      </c>
      <c r="I248">
        <f>IF(OR(A248="",F248=""),"",IF(H248&lt;=0.004,"Paid",IF(AND(E248&lt;&gt;"",TODAY()&gt;E248),"Overdue",IF(G248&gt;0,"Partial","Open"))))</f>
        <v/>
      </c>
      <c r="J248">
        <f>IF(I248="Overdue",TODAY()-E248,"")</f>
        <v/>
      </c>
    </row>
    <row r="249">
      <c r="A249" s="16" t="n"/>
      <c r="B249" s="16" t="n"/>
      <c r="C249" s="15" t="n"/>
      <c r="D249" s="16" t="n"/>
      <c r="E249" s="20">
        <f>IF(OR(C249="",D249=""),"",C249+D249)</f>
        <v/>
      </c>
      <c r="F249" s="18" t="n"/>
      <c r="G249" s="6">
        <f>IF(A249="","",SUMIFS(Income!$E$5:$E$504,Income!$C$5:$C$504,A249))</f>
        <v/>
      </c>
      <c r="H249" s="6">
        <f>IF(OR(A249="",F249=""),"",F249-G249)</f>
        <v/>
      </c>
      <c r="I249">
        <f>IF(OR(A249="",F249=""),"",IF(H249&lt;=0.004,"Paid",IF(AND(E249&lt;&gt;"",TODAY()&gt;E249),"Overdue",IF(G249&gt;0,"Partial","Open"))))</f>
        <v/>
      </c>
      <c r="J249">
        <f>IF(I249="Overdue",TODAY()-E249,"")</f>
        <v/>
      </c>
    </row>
    <row r="250">
      <c r="A250" s="16" t="n"/>
      <c r="B250" s="16" t="n"/>
      <c r="C250" s="15" t="n"/>
      <c r="D250" s="16" t="n"/>
      <c r="E250" s="20">
        <f>IF(OR(C250="",D250=""),"",C250+D250)</f>
        <v/>
      </c>
      <c r="F250" s="18" t="n"/>
      <c r="G250" s="6">
        <f>IF(A250="","",SUMIFS(Income!$E$5:$E$504,Income!$C$5:$C$504,A250))</f>
        <v/>
      </c>
      <c r="H250" s="6">
        <f>IF(OR(A250="",F250=""),"",F250-G250)</f>
        <v/>
      </c>
      <c r="I250">
        <f>IF(OR(A250="",F250=""),"",IF(H250&lt;=0.004,"Paid",IF(AND(E250&lt;&gt;"",TODAY()&gt;E250),"Overdue",IF(G250&gt;0,"Partial","Open"))))</f>
        <v/>
      </c>
      <c r="J250">
        <f>IF(I250="Overdue",TODAY()-E250,"")</f>
        <v/>
      </c>
    </row>
    <row r="251">
      <c r="A251" s="16" t="n"/>
      <c r="B251" s="16" t="n"/>
      <c r="C251" s="15" t="n"/>
      <c r="D251" s="16" t="n"/>
      <c r="E251" s="20">
        <f>IF(OR(C251="",D251=""),"",C251+D251)</f>
        <v/>
      </c>
      <c r="F251" s="18" t="n"/>
      <c r="G251" s="6">
        <f>IF(A251="","",SUMIFS(Income!$E$5:$E$504,Income!$C$5:$C$504,A251))</f>
        <v/>
      </c>
      <c r="H251" s="6">
        <f>IF(OR(A251="",F251=""),"",F251-G251)</f>
        <v/>
      </c>
      <c r="I251">
        <f>IF(OR(A251="",F251=""),"",IF(H251&lt;=0.004,"Paid",IF(AND(E251&lt;&gt;"",TODAY()&gt;E251),"Overdue",IF(G251&gt;0,"Partial","Open"))))</f>
        <v/>
      </c>
      <c r="J251">
        <f>IF(I251="Overdue",TODAY()-E251,"")</f>
        <v/>
      </c>
    </row>
    <row r="252">
      <c r="A252" s="16" t="n"/>
      <c r="B252" s="16" t="n"/>
      <c r="C252" s="15" t="n"/>
      <c r="D252" s="16" t="n"/>
      <c r="E252" s="20">
        <f>IF(OR(C252="",D252=""),"",C252+D252)</f>
        <v/>
      </c>
      <c r="F252" s="18" t="n"/>
      <c r="G252" s="6">
        <f>IF(A252="","",SUMIFS(Income!$E$5:$E$504,Income!$C$5:$C$504,A252))</f>
        <v/>
      </c>
      <c r="H252" s="6">
        <f>IF(OR(A252="",F252=""),"",F252-G252)</f>
        <v/>
      </c>
      <c r="I252">
        <f>IF(OR(A252="",F252=""),"",IF(H252&lt;=0.004,"Paid",IF(AND(E252&lt;&gt;"",TODAY()&gt;E252),"Overdue",IF(G252&gt;0,"Partial","Open"))))</f>
        <v/>
      </c>
      <c r="J252">
        <f>IF(I252="Overdue",TODAY()-E252,"")</f>
        <v/>
      </c>
    </row>
    <row r="253">
      <c r="A253" s="16" t="n"/>
      <c r="B253" s="16" t="n"/>
      <c r="C253" s="15" t="n"/>
      <c r="D253" s="16" t="n"/>
      <c r="E253" s="20">
        <f>IF(OR(C253="",D253=""),"",C253+D253)</f>
        <v/>
      </c>
      <c r="F253" s="18" t="n"/>
      <c r="G253" s="6">
        <f>IF(A253="","",SUMIFS(Income!$E$5:$E$504,Income!$C$5:$C$504,A253))</f>
        <v/>
      </c>
      <c r="H253" s="6">
        <f>IF(OR(A253="",F253=""),"",F253-G253)</f>
        <v/>
      </c>
      <c r="I253">
        <f>IF(OR(A253="",F253=""),"",IF(H253&lt;=0.004,"Paid",IF(AND(E253&lt;&gt;"",TODAY()&gt;E253),"Overdue",IF(G253&gt;0,"Partial","Open"))))</f>
        <v/>
      </c>
      <c r="J253">
        <f>IF(I253="Overdue",TODAY()-E253,"")</f>
        <v/>
      </c>
    </row>
    <row r="254">
      <c r="A254" s="16" t="n"/>
      <c r="B254" s="16" t="n"/>
      <c r="C254" s="15" t="n"/>
      <c r="D254" s="16" t="n"/>
      <c r="E254" s="20">
        <f>IF(OR(C254="",D254=""),"",C254+D254)</f>
        <v/>
      </c>
      <c r="F254" s="18" t="n"/>
      <c r="G254" s="6">
        <f>IF(A254="","",SUMIFS(Income!$E$5:$E$504,Income!$C$5:$C$504,A254))</f>
        <v/>
      </c>
      <c r="H254" s="6">
        <f>IF(OR(A254="",F254=""),"",F254-G254)</f>
        <v/>
      </c>
      <c r="I254">
        <f>IF(OR(A254="",F254=""),"",IF(H254&lt;=0.004,"Paid",IF(AND(E254&lt;&gt;"",TODAY()&gt;E254),"Overdue",IF(G254&gt;0,"Partial","Open"))))</f>
        <v/>
      </c>
      <c r="J254">
        <f>IF(I254="Overdue",TODAY()-E254,"")</f>
        <v/>
      </c>
    </row>
    <row r="255">
      <c r="A255" s="16" t="n"/>
      <c r="B255" s="16" t="n"/>
      <c r="C255" s="15" t="n"/>
      <c r="D255" s="16" t="n"/>
      <c r="E255" s="20">
        <f>IF(OR(C255="",D255=""),"",C255+D255)</f>
        <v/>
      </c>
      <c r="F255" s="18" t="n"/>
      <c r="G255" s="6">
        <f>IF(A255="","",SUMIFS(Income!$E$5:$E$504,Income!$C$5:$C$504,A255))</f>
        <v/>
      </c>
      <c r="H255" s="6">
        <f>IF(OR(A255="",F255=""),"",F255-G255)</f>
        <v/>
      </c>
      <c r="I255">
        <f>IF(OR(A255="",F255=""),"",IF(H255&lt;=0.004,"Paid",IF(AND(E255&lt;&gt;"",TODAY()&gt;E255),"Overdue",IF(G255&gt;0,"Partial","Open"))))</f>
        <v/>
      </c>
      <c r="J255">
        <f>IF(I255="Overdue",TODAY()-E255,"")</f>
        <v/>
      </c>
    </row>
    <row r="256">
      <c r="A256" s="16" t="n"/>
      <c r="B256" s="16" t="n"/>
      <c r="C256" s="15" t="n"/>
      <c r="D256" s="16" t="n"/>
      <c r="E256" s="20">
        <f>IF(OR(C256="",D256=""),"",C256+D256)</f>
        <v/>
      </c>
      <c r="F256" s="18" t="n"/>
      <c r="G256" s="6">
        <f>IF(A256="","",SUMIFS(Income!$E$5:$E$504,Income!$C$5:$C$504,A256))</f>
        <v/>
      </c>
      <c r="H256" s="6">
        <f>IF(OR(A256="",F256=""),"",F256-G256)</f>
        <v/>
      </c>
      <c r="I256">
        <f>IF(OR(A256="",F256=""),"",IF(H256&lt;=0.004,"Paid",IF(AND(E256&lt;&gt;"",TODAY()&gt;E256),"Overdue",IF(G256&gt;0,"Partial","Open"))))</f>
        <v/>
      </c>
      <c r="J256">
        <f>IF(I256="Overdue",TODAY()-E256,"")</f>
        <v/>
      </c>
    </row>
    <row r="257">
      <c r="A257" s="16" t="n"/>
      <c r="B257" s="16" t="n"/>
      <c r="C257" s="15" t="n"/>
      <c r="D257" s="16" t="n"/>
      <c r="E257" s="20">
        <f>IF(OR(C257="",D257=""),"",C257+D257)</f>
        <v/>
      </c>
      <c r="F257" s="18" t="n"/>
      <c r="G257" s="6">
        <f>IF(A257="","",SUMIFS(Income!$E$5:$E$504,Income!$C$5:$C$504,A257))</f>
        <v/>
      </c>
      <c r="H257" s="6">
        <f>IF(OR(A257="",F257=""),"",F257-G257)</f>
        <v/>
      </c>
      <c r="I257">
        <f>IF(OR(A257="",F257=""),"",IF(H257&lt;=0.004,"Paid",IF(AND(E257&lt;&gt;"",TODAY()&gt;E257),"Overdue",IF(G257&gt;0,"Partial","Open"))))</f>
        <v/>
      </c>
      <c r="J257">
        <f>IF(I257="Overdue",TODAY()-E257,"")</f>
        <v/>
      </c>
    </row>
    <row r="258">
      <c r="A258" s="16" t="n"/>
      <c r="B258" s="16" t="n"/>
      <c r="C258" s="15" t="n"/>
      <c r="D258" s="16" t="n"/>
      <c r="E258" s="20">
        <f>IF(OR(C258="",D258=""),"",C258+D258)</f>
        <v/>
      </c>
      <c r="F258" s="18" t="n"/>
      <c r="G258" s="6">
        <f>IF(A258="","",SUMIFS(Income!$E$5:$E$504,Income!$C$5:$C$504,A258))</f>
        <v/>
      </c>
      <c r="H258" s="6">
        <f>IF(OR(A258="",F258=""),"",F258-G258)</f>
        <v/>
      </c>
      <c r="I258">
        <f>IF(OR(A258="",F258=""),"",IF(H258&lt;=0.004,"Paid",IF(AND(E258&lt;&gt;"",TODAY()&gt;E258),"Overdue",IF(G258&gt;0,"Partial","Open"))))</f>
        <v/>
      </c>
      <c r="J258">
        <f>IF(I258="Overdue",TODAY()-E258,"")</f>
        <v/>
      </c>
    </row>
    <row r="259">
      <c r="A259" s="16" t="n"/>
      <c r="B259" s="16" t="n"/>
      <c r="C259" s="15" t="n"/>
      <c r="D259" s="16" t="n"/>
      <c r="E259" s="20">
        <f>IF(OR(C259="",D259=""),"",C259+D259)</f>
        <v/>
      </c>
      <c r="F259" s="18" t="n"/>
      <c r="G259" s="6">
        <f>IF(A259="","",SUMIFS(Income!$E$5:$E$504,Income!$C$5:$C$504,A259))</f>
        <v/>
      </c>
      <c r="H259" s="6">
        <f>IF(OR(A259="",F259=""),"",F259-G259)</f>
        <v/>
      </c>
      <c r="I259">
        <f>IF(OR(A259="",F259=""),"",IF(H259&lt;=0.004,"Paid",IF(AND(E259&lt;&gt;"",TODAY()&gt;E259),"Overdue",IF(G259&gt;0,"Partial","Open"))))</f>
        <v/>
      </c>
      <c r="J259">
        <f>IF(I259="Overdue",TODAY()-E259,"")</f>
        <v/>
      </c>
    </row>
    <row r="260">
      <c r="A260" s="16" t="n"/>
      <c r="B260" s="16" t="n"/>
      <c r="C260" s="15" t="n"/>
      <c r="D260" s="16" t="n"/>
      <c r="E260" s="20">
        <f>IF(OR(C260="",D260=""),"",C260+D260)</f>
        <v/>
      </c>
      <c r="F260" s="18" t="n"/>
      <c r="G260" s="6">
        <f>IF(A260="","",SUMIFS(Income!$E$5:$E$504,Income!$C$5:$C$504,A260))</f>
        <v/>
      </c>
      <c r="H260" s="6">
        <f>IF(OR(A260="",F260=""),"",F260-G260)</f>
        <v/>
      </c>
      <c r="I260">
        <f>IF(OR(A260="",F260=""),"",IF(H260&lt;=0.004,"Paid",IF(AND(E260&lt;&gt;"",TODAY()&gt;E260),"Overdue",IF(G260&gt;0,"Partial","Open"))))</f>
        <v/>
      </c>
      <c r="J260">
        <f>IF(I260="Overdue",TODAY()-E260,"")</f>
        <v/>
      </c>
    </row>
    <row r="261">
      <c r="A261" s="16" t="n"/>
      <c r="B261" s="16" t="n"/>
      <c r="C261" s="15" t="n"/>
      <c r="D261" s="16" t="n"/>
      <c r="E261" s="20">
        <f>IF(OR(C261="",D261=""),"",C261+D261)</f>
        <v/>
      </c>
      <c r="F261" s="18" t="n"/>
      <c r="G261" s="6">
        <f>IF(A261="","",SUMIFS(Income!$E$5:$E$504,Income!$C$5:$C$504,A261))</f>
        <v/>
      </c>
      <c r="H261" s="6">
        <f>IF(OR(A261="",F261=""),"",F261-G261)</f>
        <v/>
      </c>
      <c r="I261">
        <f>IF(OR(A261="",F261=""),"",IF(H261&lt;=0.004,"Paid",IF(AND(E261&lt;&gt;"",TODAY()&gt;E261),"Overdue",IF(G261&gt;0,"Partial","Open"))))</f>
        <v/>
      </c>
      <c r="J261">
        <f>IF(I261="Overdue",TODAY()-E261,"")</f>
        <v/>
      </c>
    </row>
    <row r="262">
      <c r="A262" s="16" t="n"/>
      <c r="B262" s="16" t="n"/>
      <c r="C262" s="15" t="n"/>
      <c r="D262" s="16" t="n"/>
      <c r="E262" s="20">
        <f>IF(OR(C262="",D262=""),"",C262+D262)</f>
        <v/>
      </c>
      <c r="F262" s="18" t="n"/>
      <c r="G262" s="6">
        <f>IF(A262="","",SUMIFS(Income!$E$5:$E$504,Income!$C$5:$C$504,A262))</f>
        <v/>
      </c>
      <c r="H262" s="6">
        <f>IF(OR(A262="",F262=""),"",F262-G262)</f>
        <v/>
      </c>
      <c r="I262">
        <f>IF(OR(A262="",F262=""),"",IF(H262&lt;=0.004,"Paid",IF(AND(E262&lt;&gt;"",TODAY()&gt;E262),"Overdue",IF(G262&gt;0,"Partial","Open"))))</f>
        <v/>
      </c>
      <c r="J262">
        <f>IF(I262="Overdue",TODAY()-E262,"")</f>
        <v/>
      </c>
    </row>
    <row r="263">
      <c r="A263" s="16" t="n"/>
      <c r="B263" s="16" t="n"/>
      <c r="C263" s="15" t="n"/>
      <c r="D263" s="16" t="n"/>
      <c r="E263" s="20">
        <f>IF(OR(C263="",D263=""),"",C263+D263)</f>
        <v/>
      </c>
      <c r="F263" s="18" t="n"/>
      <c r="G263" s="6">
        <f>IF(A263="","",SUMIFS(Income!$E$5:$E$504,Income!$C$5:$C$504,A263))</f>
        <v/>
      </c>
      <c r="H263" s="6">
        <f>IF(OR(A263="",F263=""),"",F263-G263)</f>
        <v/>
      </c>
      <c r="I263">
        <f>IF(OR(A263="",F263=""),"",IF(H263&lt;=0.004,"Paid",IF(AND(E263&lt;&gt;"",TODAY()&gt;E263),"Overdue",IF(G263&gt;0,"Partial","Open"))))</f>
        <v/>
      </c>
      <c r="J263">
        <f>IF(I263="Overdue",TODAY()-E263,"")</f>
        <v/>
      </c>
    </row>
    <row r="264">
      <c r="A264" s="16" t="n"/>
      <c r="B264" s="16" t="n"/>
      <c r="C264" s="15" t="n"/>
      <c r="D264" s="16" t="n"/>
      <c r="E264" s="20">
        <f>IF(OR(C264="",D264=""),"",C264+D264)</f>
        <v/>
      </c>
      <c r="F264" s="18" t="n"/>
      <c r="G264" s="6">
        <f>IF(A264="","",SUMIFS(Income!$E$5:$E$504,Income!$C$5:$C$504,A264))</f>
        <v/>
      </c>
      <c r="H264" s="6">
        <f>IF(OR(A264="",F264=""),"",F264-G264)</f>
        <v/>
      </c>
      <c r="I264">
        <f>IF(OR(A264="",F264=""),"",IF(H264&lt;=0.004,"Paid",IF(AND(E264&lt;&gt;"",TODAY()&gt;E264),"Overdue",IF(G264&gt;0,"Partial","Open"))))</f>
        <v/>
      </c>
      <c r="J264">
        <f>IF(I264="Overdue",TODAY()-E264,"")</f>
        <v/>
      </c>
    </row>
    <row r="265">
      <c r="A265" s="16" t="n"/>
      <c r="B265" s="16" t="n"/>
      <c r="C265" s="15" t="n"/>
      <c r="D265" s="16" t="n"/>
      <c r="E265" s="20">
        <f>IF(OR(C265="",D265=""),"",C265+D265)</f>
        <v/>
      </c>
      <c r="F265" s="18" t="n"/>
      <c r="G265" s="6">
        <f>IF(A265="","",SUMIFS(Income!$E$5:$E$504,Income!$C$5:$C$504,A265))</f>
        <v/>
      </c>
      <c r="H265" s="6">
        <f>IF(OR(A265="",F265=""),"",F265-G265)</f>
        <v/>
      </c>
      <c r="I265">
        <f>IF(OR(A265="",F265=""),"",IF(H265&lt;=0.004,"Paid",IF(AND(E265&lt;&gt;"",TODAY()&gt;E265),"Overdue",IF(G265&gt;0,"Partial","Open"))))</f>
        <v/>
      </c>
      <c r="J265">
        <f>IF(I265="Overdue",TODAY()-E265,"")</f>
        <v/>
      </c>
    </row>
    <row r="266">
      <c r="A266" s="16" t="n"/>
      <c r="B266" s="16" t="n"/>
      <c r="C266" s="15" t="n"/>
      <c r="D266" s="16" t="n"/>
      <c r="E266" s="20">
        <f>IF(OR(C266="",D266=""),"",C266+D266)</f>
        <v/>
      </c>
      <c r="F266" s="18" t="n"/>
      <c r="G266" s="6">
        <f>IF(A266="","",SUMIFS(Income!$E$5:$E$504,Income!$C$5:$C$504,A266))</f>
        <v/>
      </c>
      <c r="H266" s="6">
        <f>IF(OR(A266="",F266=""),"",F266-G266)</f>
        <v/>
      </c>
      <c r="I266">
        <f>IF(OR(A266="",F266=""),"",IF(H266&lt;=0.004,"Paid",IF(AND(E266&lt;&gt;"",TODAY()&gt;E266),"Overdue",IF(G266&gt;0,"Partial","Open"))))</f>
        <v/>
      </c>
      <c r="J266">
        <f>IF(I266="Overdue",TODAY()-E266,"")</f>
        <v/>
      </c>
    </row>
    <row r="267">
      <c r="A267" s="16" t="n"/>
      <c r="B267" s="16" t="n"/>
      <c r="C267" s="15" t="n"/>
      <c r="D267" s="16" t="n"/>
      <c r="E267" s="20">
        <f>IF(OR(C267="",D267=""),"",C267+D267)</f>
        <v/>
      </c>
      <c r="F267" s="18" t="n"/>
      <c r="G267" s="6">
        <f>IF(A267="","",SUMIFS(Income!$E$5:$E$504,Income!$C$5:$C$504,A267))</f>
        <v/>
      </c>
      <c r="H267" s="6">
        <f>IF(OR(A267="",F267=""),"",F267-G267)</f>
        <v/>
      </c>
      <c r="I267">
        <f>IF(OR(A267="",F267=""),"",IF(H267&lt;=0.004,"Paid",IF(AND(E267&lt;&gt;"",TODAY()&gt;E267),"Overdue",IF(G267&gt;0,"Partial","Open"))))</f>
        <v/>
      </c>
      <c r="J267">
        <f>IF(I267="Overdue",TODAY()-E267,"")</f>
        <v/>
      </c>
    </row>
    <row r="268">
      <c r="A268" s="16" t="n"/>
      <c r="B268" s="16" t="n"/>
      <c r="C268" s="15" t="n"/>
      <c r="D268" s="16" t="n"/>
      <c r="E268" s="20">
        <f>IF(OR(C268="",D268=""),"",C268+D268)</f>
        <v/>
      </c>
      <c r="F268" s="18" t="n"/>
      <c r="G268" s="6">
        <f>IF(A268="","",SUMIFS(Income!$E$5:$E$504,Income!$C$5:$C$504,A268))</f>
        <v/>
      </c>
      <c r="H268" s="6">
        <f>IF(OR(A268="",F268=""),"",F268-G268)</f>
        <v/>
      </c>
      <c r="I268">
        <f>IF(OR(A268="",F268=""),"",IF(H268&lt;=0.004,"Paid",IF(AND(E268&lt;&gt;"",TODAY()&gt;E268),"Overdue",IF(G268&gt;0,"Partial","Open"))))</f>
        <v/>
      </c>
      <c r="J268">
        <f>IF(I268="Overdue",TODAY()-E268,"")</f>
        <v/>
      </c>
    </row>
    <row r="269">
      <c r="A269" s="16" t="n"/>
      <c r="B269" s="16" t="n"/>
      <c r="C269" s="15" t="n"/>
      <c r="D269" s="16" t="n"/>
      <c r="E269" s="20">
        <f>IF(OR(C269="",D269=""),"",C269+D269)</f>
        <v/>
      </c>
      <c r="F269" s="18" t="n"/>
      <c r="G269" s="6">
        <f>IF(A269="","",SUMIFS(Income!$E$5:$E$504,Income!$C$5:$C$504,A269))</f>
        <v/>
      </c>
      <c r="H269" s="6">
        <f>IF(OR(A269="",F269=""),"",F269-G269)</f>
        <v/>
      </c>
      <c r="I269">
        <f>IF(OR(A269="",F269=""),"",IF(H269&lt;=0.004,"Paid",IF(AND(E269&lt;&gt;"",TODAY()&gt;E269),"Overdue",IF(G269&gt;0,"Partial","Open"))))</f>
        <v/>
      </c>
      <c r="J269">
        <f>IF(I269="Overdue",TODAY()-E269,"")</f>
        <v/>
      </c>
    </row>
    <row r="270">
      <c r="A270" s="16" t="n"/>
      <c r="B270" s="16" t="n"/>
      <c r="C270" s="15" t="n"/>
      <c r="D270" s="16" t="n"/>
      <c r="E270" s="20">
        <f>IF(OR(C270="",D270=""),"",C270+D270)</f>
        <v/>
      </c>
      <c r="F270" s="18" t="n"/>
      <c r="G270" s="6">
        <f>IF(A270="","",SUMIFS(Income!$E$5:$E$504,Income!$C$5:$C$504,A270))</f>
        <v/>
      </c>
      <c r="H270" s="6">
        <f>IF(OR(A270="",F270=""),"",F270-G270)</f>
        <v/>
      </c>
      <c r="I270">
        <f>IF(OR(A270="",F270=""),"",IF(H270&lt;=0.004,"Paid",IF(AND(E270&lt;&gt;"",TODAY()&gt;E270),"Overdue",IF(G270&gt;0,"Partial","Open"))))</f>
        <v/>
      </c>
      <c r="J270">
        <f>IF(I270="Overdue",TODAY()-E270,"")</f>
        <v/>
      </c>
    </row>
    <row r="271">
      <c r="A271" s="16" t="n"/>
      <c r="B271" s="16" t="n"/>
      <c r="C271" s="15" t="n"/>
      <c r="D271" s="16" t="n"/>
      <c r="E271" s="20">
        <f>IF(OR(C271="",D271=""),"",C271+D271)</f>
        <v/>
      </c>
      <c r="F271" s="18" t="n"/>
      <c r="G271" s="6">
        <f>IF(A271="","",SUMIFS(Income!$E$5:$E$504,Income!$C$5:$C$504,A271))</f>
        <v/>
      </c>
      <c r="H271" s="6">
        <f>IF(OR(A271="",F271=""),"",F271-G271)</f>
        <v/>
      </c>
      <c r="I271">
        <f>IF(OR(A271="",F271=""),"",IF(H271&lt;=0.004,"Paid",IF(AND(E271&lt;&gt;"",TODAY()&gt;E271),"Overdue",IF(G271&gt;0,"Partial","Open"))))</f>
        <v/>
      </c>
      <c r="J271">
        <f>IF(I271="Overdue",TODAY()-E271,"")</f>
        <v/>
      </c>
    </row>
    <row r="272">
      <c r="A272" s="16" t="n"/>
      <c r="B272" s="16" t="n"/>
      <c r="C272" s="15" t="n"/>
      <c r="D272" s="16" t="n"/>
      <c r="E272" s="20">
        <f>IF(OR(C272="",D272=""),"",C272+D272)</f>
        <v/>
      </c>
      <c r="F272" s="18" t="n"/>
      <c r="G272" s="6">
        <f>IF(A272="","",SUMIFS(Income!$E$5:$E$504,Income!$C$5:$C$504,A272))</f>
        <v/>
      </c>
      <c r="H272" s="6">
        <f>IF(OR(A272="",F272=""),"",F272-G272)</f>
        <v/>
      </c>
      <c r="I272">
        <f>IF(OR(A272="",F272=""),"",IF(H272&lt;=0.004,"Paid",IF(AND(E272&lt;&gt;"",TODAY()&gt;E272),"Overdue",IF(G272&gt;0,"Partial","Open"))))</f>
        <v/>
      </c>
      <c r="J272">
        <f>IF(I272="Overdue",TODAY()-E272,"")</f>
        <v/>
      </c>
    </row>
    <row r="273">
      <c r="A273" s="16" t="n"/>
      <c r="B273" s="16" t="n"/>
      <c r="C273" s="15" t="n"/>
      <c r="D273" s="16" t="n"/>
      <c r="E273" s="20">
        <f>IF(OR(C273="",D273=""),"",C273+D273)</f>
        <v/>
      </c>
      <c r="F273" s="18" t="n"/>
      <c r="G273" s="6">
        <f>IF(A273="","",SUMIFS(Income!$E$5:$E$504,Income!$C$5:$C$504,A273))</f>
        <v/>
      </c>
      <c r="H273" s="6">
        <f>IF(OR(A273="",F273=""),"",F273-G273)</f>
        <v/>
      </c>
      <c r="I273">
        <f>IF(OR(A273="",F273=""),"",IF(H273&lt;=0.004,"Paid",IF(AND(E273&lt;&gt;"",TODAY()&gt;E273),"Overdue",IF(G273&gt;0,"Partial","Open"))))</f>
        <v/>
      </c>
      <c r="J273">
        <f>IF(I273="Overdue",TODAY()-E273,"")</f>
        <v/>
      </c>
    </row>
    <row r="274">
      <c r="A274" s="16" t="n"/>
      <c r="B274" s="16" t="n"/>
      <c r="C274" s="15" t="n"/>
      <c r="D274" s="16" t="n"/>
      <c r="E274" s="20">
        <f>IF(OR(C274="",D274=""),"",C274+D274)</f>
        <v/>
      </c>
      <c r="F274" s="18" t="n"/>
      <c r="G274" s="6">
        <f>IF(A274="","",SUMIFS(Income!$E$5:$E$504,Income!$C$5:$C$504,A274))</f>
        <v/>
      </c>
      <c r="H274" s="6">
        <f>IF(OR(A274="",F274=""),"",F274-G274)</f>
        <v/>
      </c>
      <c r="I274">
        <f>IF(OR(A274="",F274=""),"",IF(H274&lt;=0.004,"Paid",IF(AND(E274&lt;&gt;"",TODAY()&gt;E274),"Overdue",IF(G274&gt;0,"Partial","Open"))))</f>
        <v/>
      </c>
      <c r="J274">
        <f>IF(I274="Overdue",TODAY()-E274,"")</f>
        <v/>
      </c>
    </row>
    <row r="275">
      <c r="A275" s="16" t="n"/>
      <c r="B275" s="16" t="n"/>
      <c r="C275" s="15" t="n"/>
      <c r="D275" s="16" t="n"/>
      <c r="E275" s="20">
        <f>IF(OR(C275="",D275=""),"",C275+D275)</f>
        <v/>
      </c>
      <c r="F275" s="18" t="n"/>
      <c r="G275" s="6">
        <f>IF(A275="","",SUMIFS(Income!$E$5:$E$504,Income!$C$5:$C$504,A275))</f>
        <v/>
      </c>
      <c r="H275" s="6">
        <f>IF(OR(A275="",F275=""),"",F275-G275)</f>
        <v/>
      </c>
      <c r="I275">
        <f>IF(OR(A275="",F275=""),"",IF(H275&lt;=0.004,"Paid",IF(AND(E275&lt;&gt;"",TODAY()&gt;E275),"Overdue",IF(G275&gt;0,"Partial","Open"))))</f>
        <v/>
      </c>
      <c r="J275">
        <f>IF(I275="Overdue",TODAY()-E275,"")</f>
        <v/>
      </c>
    </row>
    <row r="276">
      <c r="A276" s="16" t="n"/>
      <c r="B276" s="16" t="n"/>
      <c r="C276" s="15" t="n"/>
      <c r="D276" s="16" t="n"/>
      <c r="E276" s="20">
        <f>IF(OR(C276="",D276=""),"",C276+D276)</f>
        <v/>
      </c>
      <c r="F276" s="18" t="n"/>
      <c r="G276" s="6">
        <f>IF(A276="","",SUMIFS(Income!$E$5:$E$504,Income!$C$5:$C$504,A276))</f>
        <v/>
      </c>
      <c r="H276" s="6">
        <f>IF(OR(A276="",F276=""),"",F276-G276)</f>
        <v/>
      </c>
      <c r="I276">
        <f>IF(OR(A276="",F276=""),"",IF(H276&lt;=0.004,"Paid",IF(AND(E276&lt;&gt;"",TODAY()&gt;E276),"Overdue",IF(G276&gt;0,"Partial","Open"))))</f>
        <v/>
      </c>
      <c r="J276">
        <f>IF(I276="Overdue",TODAY()-E276,"")</f>
        <v/>
      </c>
    </row>
    <row r="277">
      <c r="A277" s="16" t="n"/>
      <c r="B277" s="16" t="n"/>
      <c r="C277" s="15" t="n"/>
      <c r="D277" s="16" t="n"/>
      <c r="E277" s="20">
        <f>IF(OR(C277="",D277=""),"",C277+D277)</f>
        <v/>
      </c>
      <c r="F277" s="18" t="n"/>
      <c r="G277" s="6">
        <f>IF(A277="","",SUMIFS(Income!$E$5:$E$504,Income!$C$5:$C$504,A277))</f>
        <v/>
      </c>
      <c r="H277" s="6">
        <f>IF(OR(A277="",F277=""),"",F277-G277)</f>
        <v/>
      </c>
      <c r="I277">
        <f>IF(OR(A277="",F277=""),"",IF(H277&lt;=0.004,"Paid",IF(AND(E277&lt;&gt;"",TODAY()&gt;E277),"Overdue",IF(G277&gt;0,"Partial","Open"))))</f>
        <v/>
      </c>
      <c r="J277">
        <f>IF(I277="Overdue",TODAY()-E277,"")</f>
        <v/>
      </c>
    </row>
    <row r="278">
      <c r="A278" s="16" t="n"/>
      <c r="B278" s="16" t="n"/>
      <c r="C278" s="15" t="n"/>
      <c r="D278" s="16" t="n"/>
      <c r="E278" s="20">
        <f>IF(OR(C278="",D278=""),"",C278+D278)</f>
        <v/>
      </c>
      <c r="F278" s="18" t="n"/>
      <c r="G278" s="6">
        <f>IF(A278="","",SUMIFS(Income!$E$5:$E$504,Income!$C$5:$C$504,A278))</f>
        <v/>
      </c>
      <c r="H278" s="6">
        <f>IF(OR(A278="",F278=""),"",F278-G278)</f>
        <v/>
      </c>
      <c r="I278">
        <f>IF(OR(A278="",F278=""),"",IF(H278&lt;=0.004,"Paid",IF(AND(E278&lt;&gt;"",TODAY()&gt;E278),"Overdue",IF(G278&gt;0,"Partial","Open"))))</f>
        <v/>
      </c>
      <c r="J278">
        <f>IF(I278="Overdue",TODAY()-E278,"")</f>
        <v/>
      </c>
    </row>
    <row r="279">
      <c r="A279" s="16" t="n"/>
      <c r="B279" s="16" t="n"/>
      <c r="C279" s="15" t="n"/>
      <c r="D279" s="16" t="n"/>
      <c r="E279" s="20">
        <f>IF(OR(C279="",D279=""),"",C279+D279)</f>
        <v/>
      </c>
      <c r="F279" s="18" t="n"/>
      <c r="G279" s="6">
        <f>IF(A279="","",SUMIFS(Income!$E$5:$E$504,Income!$C$5:$C$504,A279))</f>
        <v/>
      </c>
      <c r="H279" s="6">
        <f>IF(OR(A279="",F279=""),"",F279-G279)</f>
        <v/>
      </c>
      <c r="I279">
        <f>IF(OR(A279="",F279=""),"",IF(H279&lt;=0.004,"Paid",IF(AND(E279&lt;&gt;"",TODAY()&gt;E279),"Overdue",IF(G279&gt;0,"Partial","Open"))))</f>
        <v/>
      </c>
      <c r="J279">
        <f>IF(I279="Overdue",TODAY()-E279,"")</f>
        <v/>
      </c>
    </row>
    <row r="280">
      <c r="A280" s="16" t="n"/>
      <c r="B280" s="16" t="n"/>
      <c r="C280" s="15" t="n"/>
      <c r="D280" s="16" t="n"/>
      <c r="E280" s="20">
        <f>IF(OR(C280="",D280=""),"",C280+D280)</f>
        <v/>
      </c>
      <c r="F280" s="18" t="n"/>
      <c r="G280" s="6">
        <f>IF(A280="","",SUMIFS(Income!$E$5:$E$504,Income!$C$5:$C$504,A280))</f>
        <v/>
      </c>
      <c r="H280" s="6">
        <f>IF(OR(A280="",F280=""),"",F280-G280)</f>
        <v/>
      </c>
      <c r="I280">
        <f>IF(OR(A280="",F280=""),"",IF(H280&lt;=0.004,"Paid",IF(AND(E280&lt;&gt;"",TODAY()&gt;E280),"Overdue",IF(G280&gt;0,"Partial","Open"))))</f>
        <v/>
      </c>
      <c r="J280">
        <f>IF(I280="Overdue",TODAY()-E280,"")</f>
        <v/>
      </c>
    </row>
    <row r="281">
      <c r="A281" s="16" t="n"/>
      <c r="B281" s="16" t="n"/>
      <c r="C281" s="15" t="n"/>
      <c r="D281" s="16" t="n"/>
      <c r="E281" s="20">
        <f>IF(OR(C281="",D281=""),"",C281+D281)</f>
        <v/>
      </c>
      <c r="F281" s="18" t="n"/>
      <c r="G281" s="6">
        <f>IF(A281="","",SUMIFS(Income!$E$5:$E$504,Income!$C$5:$C$504,A281))</f>
        <v/>
      </c>
      <c r="H281" s="6">
        <f>IF(OR(A281="",F281=""),"",F281-G281)</f>
        <v/>
      </c>
      <c r="I281">
        <f>IF(OR(A281="",F281=""),"",IF(H281&lt;=0.004,"Paid",IF(AND(E281&lt;&gt;"",TODAY()&gt;E281),"Overdue",IF(G281&gt;0,"Partial","Open"))))</f>
        <v/>
      </c>
      <c r="J281">
        <f>IF(I281="Overdue",TODAY()-E281,"")</f>
        <v/>
      </c>
    </row>
    <row r="282">
      <c r="A282" s="16" t="n"/>
      <c r="B282" s="16" t="n"/>
      <c r="C282" s="15" t="n"/>
      <c r="D282" s="16" t="n"/>
      <c r="E282" s="20">
        <f>IF(OR(C282="",D282=""),"",C282+D282)</f>
        <v/>
      </c>
      <c r="F282" s="18" t="n"/>
      <c r="G282" s="6">
        <f>IF(A282="","",SUMIFS(Income!$E$5:$E$504,Income!$C$5:$C$504,A282))</f>
        <v/>
      </c>
      <c r="H282" s="6">
        <f>IF(OR(A282="",F282=""),"",F282-G282)</f>
        <v/>
      </c>
      <c r="I282">
        <f>IF(OR(A282="",F282=""),"",IF(H282&lt;=0.004,"Paid",IF(AND(E282&lt;&gt;"",TODAY()&gt;E282),"Overdue",IF(G282&gt;0,"Partial","Open"))))</f>
        <v/>
      </c>
      <c r="J282">
        <f>IF(I282="Overdue",TODAY()-E282,"")</f>
        <v/>
      </c>
    </row>
    <row r="283">
      <c r="A283" s="16" t="n"/>
      <c r="B283" s="16" t="n"/>
      <c r="C283" s="15" t="n"/>
      <c r="D283" s="16" t="n"/>
      <c r="E283" s="20">
        <f>IF(OR(C283="",D283=""),"",C283+D283)</f>
        <v/>
      </c>
      <c r="F283" s="18" t="n"/>
      <c r="G283" s="6">
        <f>IF(A283="","",SUMIFS(Income!$E$5:$E$504,Income!$C$5:$C$504,A283))</f>
        <v/>
      </c>
      <c r="H283" s="6">
        <f>IF(OR(A283="",F283=""),"",F283-G283)</f>
        <v/>
      </c>
      <c r="I283">
        <f>IF(OR(A283="",F283=""),"",IF(H283&lt;=0.004,"Paid",IF(AND(E283&lt;&gt;"",TODAY()&gt;E283),"Overdue",IF(G283&gt;0,"Partial","Open"))))</f>
        <v/>
      </c>
      <c r="J283">
        <f>IF(I283="Overdue",TODAY()-E283,"")</f>
        <v/>
      </c>
    </row>
    <row r="284">
      <c r="A284" s="16" t="n"/>
      <c r="B284" s="16" t="n"/>
      <c r="C284" s="15" t="n"/>
      <c r="D284" s="16" t="n"/>
      <c r="E284" s="20">
        <f>IF(OR(C284="",D284=""),"",C284+D284)</f>
        <v/>
      </c>
      <c r="F284" s="18" t="n"/>
      <c r="G284" s="6">
        <f>IF(A284="","",SUMIFS(Income!$E$5:$E$504,Income!$C$5:$C$504,A284))</f>
        <v/>
      </c>
      <c r="H284" s="6">
        <f>IF(OR(A284="",F284=""),"",F284-G284)</f>
        <v/>
      </c>
      <c r="I284">
        <f>IF(OR(A284="",F284=""),"",IF(H284&lt;=0.004,"Paid",IF(AND(E284&lt;&gt;"",TODAY()&gt;E284),"Overdue",IF(G284&gt;0,"Partial","Open"))))</f>
        <v/>
      </c>
      <c r="J284">
        <f>IF(I284="Overdue",TODAY()-E284,"")</f>
        <v/>
      </c>
    </row>
    <row r="285">
      <c r="A285" s="16" t="n"/>
      <c r="B285" s="16" t="n"/>
      <c r="C285" s="15" t="n"/>
      <c r="D285" s="16" t="n"/>
      <c r="E285" s="20">
        <f>IF(OR(C285="",D285=""),"",C285+D285)</f>
        <v/>
      </c>
      <c r="F285" s="18" t="n"/>
      <c r="G285" s="6">
        <f>IF(A285="","",SUMIFS(Income!$E$5:$E$504,Income!$C$5:$C$504,A285))</f>
        <v/>
      </c>
      <c r="H285" s="6">
        <f>IF(OR(A285="",F285=""),"",F285-G285)</f>
        <v/>
      </c>
      <c r="I285">
        <f>IF(OR(A285="",F285=""),"",IF(H285&lt;=0.004,"Paid",IF(AND(E285&lt;&gt;"",TODAY()&gt;E285),"Overdue",IF(G285&gt;0,"Partial","Open"))))</f>
        <v/>
      </c>
      <c r="J285">
        <f>IF(I285="Overdue",TODAY()-E285,"")</f>
        <v/>
      </c>
    </row>
    <row r="286">
      <c r="A286" s="16" t="n"/>
      <c r="B286" s="16" t="n"/>
      <c r="C286" s="15" t="n"/>
      <c r="D286" s="16" t="n"/>
      <c r="E286" s="20">
        <f>IF(OR(C286="",D286=""),"",C286+D286)</f>
        <v/>
      </c>
      <c r="F286" s="18" t="n"/>
      <c r="G286" s="6">
        <f>IF(A286="","",SUMIFS(Income!$E$5:$E$504,Income!$C$5:$C$504,A286))</f>
        <v/>
      </c>
      <c r="H286" s="6">
        <f>IF(OR(A286="",F286=""),"",F286-G286)</f>
        <v/>
      </c>
      <c r="I286">
        <f>IF(OR(A286="",F286=""),"",IF(H286&lt;=0.004,"Paid",IF(AND(E286&lt;&gt;"",TODAY()&gt;E286),"Overdue",IF(G286&gt;0,"Partial","Open"))))</f>
        <v/>
      </c>
      <c r="J286">
        <f>IF(I286="Overdue",TODAY()-E286,"")</f>
        <v/>
      </c>
    </row>
    <row r="287">
      <c r="A287" s="16" t="n"/>
      <c r="B287" s="16" t="n"/>
      <c r="C287" s="15" t="n"/>
      <c r="D287" s="16" t="n"/>
      <c r="E287" s="20">
        <f>IF(OR(C287="",D287=""),"",C287+D287)</f>
        <v/>
      </c>
      <c r="F287" s="18" t="n"/>
      <c r="G287" s="6">
        <f>IF(A287="","",SUMIFS(Income!$E$5:$E$504,Income!$C$5:$C$504,A287))</f>
        <v/>
      </c>
      <c r="H287" s="6">
        <f>IF(OR(A287="",F287=""),"",F287-G287)</f>
        <v/>
      </c>
      <c r="I287">
        <f>IF(OR(A287="",F287=""),"",IF(H287&lt;=0.004,"Paid",IF(AND(E287&lt;&gt;"",TODAY()&gt;E287),"Overdue",IF(G287&gt;0,"Partial","Open"))))</f>
        <v/>
      </c>
      <c r="J287">
        <f>IF(I287="Overdue",TODAY()-E287,"")</f>
        <v/>
      </c>
    </row>
    <row r="288">
      <c r="A288" s="16" t="n"/>
      <c r="B288" s="16" t="n"/>
      <c r="C288" s="15" t="n"/>
      <c r="D288" s="16" t="n"/>
      <c r="E288" s="20">
        <f>IF(OR(C288="",D288=""),"",C288+D288)</f>
        <v/>
      </c>
      <c r="F288" s="18" t="n"/>
      <c r="G288" s="6">
        <f>IF(A288="","",SUMIFS(Income!$E$5:$E$504,Income!$C$5:$C$504,A288))</f>
        <v/>
      </c>
      <c r="H288" s="6">
        <f>IF(OR(A288="",F288=""),"",F288-G288)</f>
        <v/>
      </c>
      <c r="I288">
        <f>IF(OR(A288="",F288=""),"",IF(H288&lt;=0.004,"Paid",IF(AND(E288&lt;&gt;"",TODAY()&gt;E288),"Overdue",IF(G288&gt;0,"Partial","Open"))))</f>
        <v/>
      </c>
      <c r="J288">
        <f>IF(I288="Overdue",TODAY()-E288,"")</f>
        <v/>
      </c>
    </row>
    <row r="289">
      <c r="A289" s="16" t="n"/>
      <c r="B289" s="16" t="n"/>
      <c r="C289" s="15" t="n"/>
      <c r="D289" s="16" t="n"/>
      <c r="E289" s="20">
        <f>IF(OR(C289="",D289=""),"",C289+D289)</f>
        <v/>
      </c>
      <c r="F289" s="18" t="n"/>
      <c r="G289" s="6">
        <f>IF(A289="","",SUMIFS(Income!$E$5:$E$504,Income!$C$5:$C$504,A289))</f>
        <v/>
      </c>
      <c r="H289" s="6">
        <f>IF(OR(A289="",F289=""),"",F289-G289)</f>
        <v/>
      </c>
      <c r="I289">
        <f>IF(OR(A289="",F289=""),"",IF(H289&lt;=0.004,"Paid",IF(AND(E289&lt;&gt;"",TODAY()&gt;E289),"Overdue",IF(G289&gt;0,"Partial","Open"))))</f>
        <v/>
      </c>
      <c r="J289">
        <f>IF(I289="Overdue",TODAY()-E289,"")</f>
        <v/>
      </c>
    </row>
    <row r="290">
      <c r="A290" s="16" t="n"/>
      <c r="B290" s="16" t="n"/>
      <c r="C290" s="15" t="n"/>
      <c r="D290" s="16" t="n"/>
      <c r="E290" s="20">
        <f>IF(OR(C290="",D290=""),"",C290+D290)</f>
        <v/>
      </c>
      <c r="F290" s="18" t="n"/>
      <c r="G290" s="6">
        <f>IF(A290="","",SUMIFS(Income!$E$5:$E$504,Income!$C$5:$C$504,A290))</f>
        <v/>
      </c>
      <c r="H290" s="6">
        <f>IF(OR(A290="",F290=""),"",F290-G290)</f>
        <v/>
      </c>
      <c r="I290">
        <f>IF(OR(A290="",F290=""),"",IF(H290&lt;=0.004,"Paid",IF(AND(E290&lt;&gt;"",TODAY()&gt;E290),"Overdue",IF(G290&gt;0,"Partial","Open"))))</f>
        <v/>
      </c>
      <c r="J290">
        <f>IF(I290="Overdue",TODAY()-E290,"")</f>
        <v/>
      </c>
    </row>
    <row r="291">
      <c r="A291" s="16" t="n"/>
      <c r="B291" s="16" t="n"/>
      <c r="C291" s="15" t="n"/>
      <c r="D291" s="16" t="n"/>
      <c r="E291" s="20">
        <f>IF(OR(C291="",D291=""),"",C291+D291)</f>
        <v/>
      </c>
      <c r="F291" s="18" t="n"/>
      <c r="G291" s="6">
        <f>IF(A291="","",SUMIFS(Income!$E$5:$E$504,Income!$C$5:$C$504,A291))</f>
        <v/>
      </c>
      <c r="H291" s="6">
        <f>IF(OR(A291="",F291=""),"",F291-G291)</f>
        <v/>
      </c>
      <c r="I291">
        <f>IF(OR(A291="",F291=""),"",IF(H291&lt;=0.004,"Paid",IF(AND(E291&lt;&gt;"",TODAY()&gt;E291),"Overdue",IF(G291&gt;0,"Partial","Open"))))</f>
        <v/>
      </c>
      <c r="J291">
        <f>IF(I291="Overdue",TODAY()-E291,"")</f>
        <v/>
      </c>
    </row>
    <row r="292">
      <c r="A292" s="16" t="n"/>
      <c r="B292" s="16" t="n"/>
      <c r="C292" s="15" t="n"/>
      <c r="D292" s="16" t="n"/>
      <c r="E292" s="20">
        <f>IF(OR(C292="",D292=""),"",C292+D292)</f>
        <v/>
      </c>
      <c r="F292" s="18" t="n"/>
      <c r="G292" s="6">
        <f>IF(A292="","",SUMIFS(Income!$E$5:$E$504,Income!$C$5:$C$504,A292))</f>
        <v/>
      </c>
      <c r="H292" s="6">
        <f>IF(OR(A292="",F292=""),"",F292-G292)</f>
        <v/>
      </c>
      <c r="I292">
        <f>IF(OR(A292="",F292=""),"",IF(H292&lt;=0.004,"Paid",IF(AND(E292&lt;&gt;"",TODAY()&gt;E292),"Overdue",IF(G292&gt;0,"Partial","Open"))))</f>
        <v/>
      </c>
      <c r="J292">
        <f>IF(I292="Overdue",TODAY()-E292,"")</f>
        <v/>
      </c>
    </row>
    <row r="293">
      <c r="A293" s="16" t="n"/>
      <c r="B293" s="16" t="n"/>
      <c r="C293" s="15" t="n"/>
      <c r="D293" s="16" t="n"/>
      <c r="E293" s="20">
        <f>IF(OR(C293="",D293=""),"",C293+D293)</f>
        <v/>
      </c>
      <c r="F293" s="18" t="n"/>
      <c r="G293" s="6">
        <f>IF(A293="","",SUMIFS(Income!$E$5:$E$504,Income!$C$5:$C$504,A293))</f>
        <v/>
      </c>
      <c r="H293" s="6">
        <f>IF(OR(A293="",F293=""),"",F293-G293)</f>
        <v/>
      </c>
      <c r="I293">
        <f>IF(OR(A293="",F293=""),"",IF(H293&lt;=0.004,"Paid",IF(AND(E293&lt;&gt;"",TODAY()&gt;E293),"Overdue",IF(G293&gt;0,"Partial","Open"))))</f>
        <v/>
      </c>
      <c r="J293">
        <f>IF(I293="Overdue",TODAY()-E293,"")</f>
        <v/>
      </c>
    </row>
    <row r="294">
      <c r="A294" s="16" t="n"/>
      <c r="B294" s="16" t="n"/>
      <c r="C294" s="15" t="n"/>
      <c r="D294" s="16" t="n"/>
      <c r="E294" s="20">
        <f>IF(OR(C294="",D294=""),"",C294+D294)</f>
        <v/>
      </c>
      <c r="F294" s="18" t="n"/>
      <c r="G294" s="6">
        <f>IF(A294="","",SUMIFS(Income!$E$5:$E$504,Income!$C$5:$C$504,A294))</f>
        <v/>
      </c>
      <c r="H294" s="6">
        <f>IF(OR(A294="",F294=""),"",F294-G294)</f>
        <v/>
      </c>
      <c r="I294">
        <f>IF(OR(A294="",F294=""),"",IF(H294&lt;=0.004,"Paid",IF(AND(E294&lt;&gt;"",TODAY()&gt;E294),"Overdue",IF(G294&gt;0,"Partial","Open"))))</f>
        <v/>
      </c>
      <c r="J294">
        <f>IF(I294="Overdue",TODAY()-E294,"")</f>
        <v/>
      </c>
    </row>
    <row r="295">
      <c r="A295" s="16" t="n"/>
      <c r="B295" s="16" t="n"/>
      <c r="C295" s="15" t="n"/>
      <c r="D295" s="16" t="n"/>
      <c r="E295" s="20">
        <f>IF(OR(C295="",D295=""),"",C295+D295)</f>
        <v/>
      </c>
      <c r="F295" s="18" t="n"/>
      <c r="G295" s="6">
        <f>IF(A295="","",SUMIFS(Income!$E$5:$E$504,Income!$C$5:$C$504,A295))</f>
        <v/>
      </c>
      <c r="H295" s="6">
        <f>IF(OR(A295="",F295=""),"",F295-G295)</f>
        <v/>
      </c>
      <c r="I295">
        <f>IF(OR(A295="",F295=""),"",IF(H295&lt;=0.004,"Paid",IF(AND(E295&lt;&gt;"",TODAY()&gt;E295),"Overdue",IF(G295&gt;0,"Partial","Open"))))</f>
        <v/>
      </c>
      <c r="J295">
        <f>IF(I295="Overdue",TODAY()-E295,"")</f>
        <v/>
      </c>
    </row>
    <row r="296">
      <c r="A296" s="16" t="n"/>
      <c r="B296" s="16" t="n"/>
      <c r="C296" s="15" t="n"/>
      <c r="D296" s="16" t="n"/>
      <c r="E296" s="20">
        <f>IF(OR(C296="",D296=""),"",C296+D296)</f>
        <v/>
      </c>
      <c r="F296" s="18" t="n"/>
      <c r="G296" s="6">
        <f>IF(A296="","",SUMIFS(Income!$E$5:$E$504,Income!$C$5:$C$504,A296))</f>
        <v/>
      </c>
      <c r="H296" s="6">
        <f>IF(OR(A296="",F296=""),"",F296-G296)</f>
        <v/>
      </c>
      <c r="I296">
        <f>IF(OR(A296="",F296=""),"",IF(H296&lt;=0.004,"Paid",IF(AND(E296&lt;&gt;"",TODAY()&gt;E296),"Overdue",IF(G296&gt;0,"Partial","Open"))))</f>
        <v/>
      </c>
      <c r="J296">
        <f>IF(I296="Overdue",TODAY()-E296,"")</f>
        <v/>
      </c>
    </row>
    <row r="297">
      <c r="A297" s="16" t="n"/>
      <c r="B297" s="16" t="n"/>
      <c r="C297" s="15" t="n"/>
      <c r="D297" s="16" t="n"/>
      <c r="E297" s="20">
        <f>IF(OR(C297="",D297=""),"",C297+D297)</f>
        <v/>
      </c>
      <c r="F297" s="18" t="n"/>
      <c r="G297" s="6">
        <f>IF(A297="","",SUMIFS(Income!$E$5:$E$504,Income!$C$5:$C$504,A297))</f>
        <v/>
      </c>
      <c r="H297" s="6">
        <f>IF(OR(A297="",F297=""),"",F297-G297)</f>
        <v/>
      </c>
      <c r="I297">
        <f>IF(OR(A297="",F297=""),"",IF(H297&lt;=0.004,"Paid",IF(AND(E297&lt;&gt;"",TODAY()&gt;E297),"Overdue",IF(G297&gt;0,"Partial","Open"))))</f>
        <v/>
      </c>
      <c r="J297">
        <f>IF(I297="Overdue",TODAY()-E297,"")</f>
        <v/>
      </c>
    </row>
    <row r="298">
      <c r="A298" s="16" t="n"/>
      <c r="B298" s="16" t="n"/>
      <c r="C298" s="15" t="n"/>
      <c r="D298" s="16" t="n"/>
      <c r="E298" s="20">
        <f>IF(OR(C298="",D298=""),"",C298+D298)</f>
        <v/>
      </c>
      <c r="F298" s="18" t="n"/>
      <c r="G298" s="6">
        <f>IF(A298="","",SUMIFS(Income!$E$5:$E$504,Income!$C$5:$C$504,A298))</f>
        <v/>
      </c>
      <c r="H298" s="6">
        <f>IF(OR(A298="",F298=""),"",F298-G298)</f>
        <v/>
      </c>
      <c r="I298">
        <f>IF(OR(A298="",F298=""),"",IF(H298&lt;=0.004,"Paid",IF(AND(E298&lt;&gt;"",TODAY()&gt;E298),"Overdue",IF(G298&gt;0,"Partial","Open"))))</f>
        <v/>
      </c>
      <c r="J298">
        <f>IF(I298="Overdue",TODAY()-E298,"")</f>
        <v/>
      </c>
    </row>
    <row r="299">
      <c r="A299" s="16" t="n"/>
      <c r="B299" s="16" t="n"/>
      <c r="C299" s="15" t="n"/>
      <c r="D299" s="16" t="n"/>
      <c r="E299" s="20">
        <f>IF(OR(C299="",D299=""),"",C299+D299)</f>
        <v/>
      </c>
      <c r="F299" s="18" t="n"/>
      <c r="G299" s="6">
        <f>IF(A299="","",SUMIFS(Income!$E$5:$E$504,Income!$C$5:$C$504,A299))</f>
        <v/>
      </c>
      <c r="H299" s="6">
        <f>IF(OR(A299="",F299=""),"",F299-G299)</f>
        <v/>
      </c>
      <c r="I299">
        <f>IF(OR(A299="",F299=""),"",IF(H299&lt;=0.004,"Paid",IF(AND(E299&lt;&gt;"",TODAY()&gt;E299),"Overdue",IF(G299&gt;0,"Partial","Open"))))</f>
        <v/>
      </c>
      <c r="J299">
        <f>IF(I299="Overdue",TODAY()-E299,"")</f>
        <v/>
      </c>
    </row>
    <row r="300">
      <c r="A300" s="16" t="n"/>
      <c r="B300" s="16" t="n"/>
      <c r="C300" s="15" t="n"/>
      <c r="D300" s="16" t="n"/>
      <c r="E300" s="20">
        <f>IF(OR(C300="",D300=""),"",C300+D300)</f>
        <v/>
      </c>
      <c r="F300" s="18" t="n"/>
      <c r="G300" s="6">
        <f>IF(A300="","",SUMIFS(Income!$E$5:$E$504,Income!$C$5:$C$504,A300))</f>
        <v/>
      </c>
      <c r="H300" s="6">
        <f>IF(OR(A300="",F300=""),"",F300-G300)</f>
        <v/>
      </c>
      <c r="I300">
        <f>IF(OR(A300="",F300=""),"",IF(H300&lt;=0.004,"Paid",IF(AND(E300&lt;&gt;"",TODAY()&gt;E300),"Overdue",IF(G300&gt;0,"Partial","Open"))))</f>
        <v/>
      </c>
      <c r="J300">
        <f>IF(I300="Overdue",TODAY()-E300,"")</f>
        <v/>
      </c>
    </row>
    <row r="301">
      <c r="A301" s="16" t="n"/>
      <c r="B301" s="16" t="n"/>
      <c r="C301" s="15" t="n"/>
      <c r="D301" s="16" t="n"/>
      <c r="E301" s="20">
        <f>IF(OR(C301="",D301=""),"",C301+D301)</f>
        <v/>
      </c>
      <c r="F301" s="18" t="n"/>
      <c r="G301" s="6">
        <f>IF(A301="","",SUMIFS(Income!$E$5:$E$504,Income!$C$5:$C$504,A301))</f>
        <v/>
      </c>
      <c r="H301" s="6">
        <f>IF(OR(A301="",F301=""),"",F301-G301)</f>
        <v/>
      </c>
      <c r="I301">
        <f>IF(OR(A301="",F301=""),"",IF(H301&lt;=0.004,"Paid",IF(AND(E301&lt;&gt;"",TODAY()&gt;E301),"Overdue",IF(G301&gt;0,"Partial","Open"))))</f>
        <v/>
      </c>
      <c r="J301">
        <f>IF(I301="Overdue",TODAY()-E301,"")</f>
        <v/>
      </c>
    </row>
    <row r="302">
      <c r="A302" s="16" t="n"/>
      <c r="B302" s="16" t="n"/>
      <c r="C302" s="15" t="n"/>
      <c r="D302" s="16" t="n"/>
      <c r="E302" s="20">
        <f>IF(OR(C302="",D302=""),"",C302+D302)</f>
        <v/>
      </c>
      <c r="F302" s="18" t="n"/>
      <c r="G302" s="6">
        <f>IF(A302="","",SUMIFS(Income!$E$5:$E$504,Income!$C$5:$C$504,A302))</f>
        <v/>
      </c>
      <c r="H302" s="6">
        <f>IF(OR(A302="",F302=""),"",F302-G302)</f>
        <v/>
      </c>
      <c r="I302">
        <f>IF(OR(A302="",F302=""),"",IF(H302&lt;=0.004,"Paid",IF(AND(E302&lt;&gt;"",TODAY()&gt;E302),"Overdue",IF(G302&gt;0,"Partial","Open"))))</f>
        <v/>
      </c>
      <c r="J302">
        <f>IF(I302="Overdue",TODAY()-E302,"")</f>
        <v/>
      </c>
    </row>
    <row r="303">
      <c r="A303" s="16" t="n"/>
      <c r="B303" s="16" t="n"/>
      <c r="C303" s="15" t="n"/>
      <c r="D303" s="16" t="n"/>
      <c r="E303" s="20">
        <f>IF(OR(C303="",D303=""),"",C303+D303)</f>
        <v/>
      </c>
      <c r="F303" s="18" t="n"/>
      <c r="G303" s="6">
        <f>IF(A303="","",SUMIFS(Income!$E$5:$E$504,Income!$C$5:$C$504,A303))</f>
        <v/>
      </c>
      <c r="H303" s="6">
        <f>IF(OR(A303="",F303=""),"",F303-G303)</f>
        <v/>
      </c>
      <c r="I303">
        <f>IF(OR(A303="",F303=""),"",IF(H303&lt;=0.004,"Paid",IF(AND(E303&lt;&gt;"",TODAY()&gt;E303),"Overdue",IF(G303&gt;0,"Partial","Open"))))</f>
        <v/>
      </c>
      <c r="J303">
        <f>IF(I303="Overdue",TODAY()-E303,"")</f>
        <v/>
      </c>
    </row>
    <row r="304">
      <c r="A304" s="16" t="n"/>
      <c r="B304" s="16" t="n"/>
      <c r="C304" s="15" t="n"/>
      <c r="D304" s="16" t="n"/>
      <c r="E304" s="20">
        <f>IF(OR(C304="",D304=""),"",C304+D304)</f>
        <v/>
      </c>
      <c r="F304" s="18" t="n"/>
      <c r="G304" s="6">
        <f>IF(A304="","",SUMIFS(Income!$E$5:$E$504,Income!$C$5:$C$504,A304))</f>
        <v/>
      </c>
      <c r="H304" s="6">
        <f>IF(OR(A304="",F304=""),"",F304-G304)</f>
        <v/>
      </c>
      <c r="I304">
        <f>IF(OR(A304="",F304=""),"",IF(H304&lt;=0.004,"Paid",IF(AND(E304&lt;&gt;"",TODAY()&gt;E304),"Overdue",IF(G304&gt;0,"Partial","Open"))))</f>
        <v/>
      </c>
      <c r="J304">
        <f>IF(I304="Overdue",TODAY()-E304,"")</f>
        <v/>
      </c>
    </row>
    <row r="305">
      <c r="A305" s="16" t="n"/>
      <c r="B305" s="16" t="n"/>
      <c r="C305" s="15" t="n"/>
      <c r="D305" s="16" t="n"/>
      <c r="E305" s="20">
        <f>IF(OR(C305="",D305=""),"",C305+D305)</f>
        <v/>
      </c>
      <c r="F305" s="18" t="n"/>
      <c r="G305" s="6">
        <f>IF(A305="","",SUMIFS(Income!$E$5:$E$504,Income!$C$5:$C$504,A305))</f>
        <v/>
      </c>
      <c r="H305" s="6">
        <f>IF(OR(A305="",F305=""),"",F305-G305)</f>
        <v/>
      </c>
      <c r="I305">
        <f>IF(OR(A305="",F305=""),"",IF(H305&lt;=0.004,"Paid",IF(AND(E305&lt;&gt;"",TODAY()&gt;E305),"Overdue",IF(G305&gt;0,"Partial","Open"))))</f>
        <v/>
      </c>
      <c r="J305">
        <f>IF(I305="Overdue",TODAY()-E305,"")</f>
        <v/>
      </c>
    </row>
    <row r="306">
      <c r="A306" s="16" t="n"/>
      <c r="B306" s="16" t="n"/>
      <c r="C306" s="15" t="n"/>
      <c r="D306" s="16" t="n"/>
      <c r="E306" s="20">
        <f>IF(OR(C306="",D306=""),"",C306+D306)</f>
        <v/>
      </c>
      <c r="F306" s="18" t="n"/>
      <c r="G306" s="6">
        <f>IF(A306="","",SUMIFS(Income!$E$5:$E$504,Income!$C$5:$C$504,A306))</f>
        <v/>
      </c>
      <c r="H306" s="6">
        <f>IF(OR(A306="",F306=""),"",F306-G306)</f>
        <v/>
      </c>
      <c r="I306">
        <f>IF(OR(A306="",F306=""),"",IF(H306&lt;=0.004,"Paid",IF(AND(E306&lt;&gt;"",TODAY()&gt;E306),"Overdue",IF(G306&gt;0,"Partial","Open"))))</f>
        <v/>
      </c>
      <c r="J306">
        <f>IF(I306="Overdue",TODAY()-E306,"")</f>
        <v/>
      </c>
    </row>
    <row r="307">
      <c r="A307" s="16" t="n"/>
      <c r="B307" s="16" t="n"/>
      <c r="C307" s="15" t="n"/>
      <c r="D307" s="16" t="n"/>
      <c r="E307" s="20">
        <f>IF(OR(C307="",D307=""),"",C307+D307)</f>
        <v/>
      </c>
      <c r="F307" s="18" t="n"/>
      <c r="G307" s="6">
        <f>IF(A307="","",SUMIFS(Income!$E$5:$E$504,Income!$C$5:$C$504,A307))</f>
        <v/>
      </c>
      <c r="H307" s="6">
        <f>IF(OR(A307="",F307=""),"",F307-G307)</f>
        <v/>
      </c>
      <c r="I307">
        <f>IF(OR(A307="",F307=""),"",IF(H307&lt;=0.004,"Paid",IF(AND(E307&lt;&gt;"",TODAY()&gt;E307),"Overdue",IF(G307&gt;0,"Partial","Open"))))</f>
        <v/>
      </c>
      <c r="J307">
        <f>IF(I307="Overdue",TODAY()-E307,"")</f>
        <v/>
      </c>
    </row>
    <row r="308">
      <c r="A308" s="16" t="n"/>
      <c r="B308" s="16" t="n"/>
      <c r="C308" s="15" t="n"/>
      <c r="D308" s="16" t="n"/>
      <c r="E308" s="20">
        <f>IF(OR(C308="",D308=""),"",C308+D308)</f>
        <v/>
      </c>
      <c r="F308" s="18" t="n"/>
      <c r="G308" s="6">
        <f>IF(A308="","",SUMIFS(Income!$E$5:$E$504,Income!$C$5:$C$504,A308))</f>
        <v/>
      </c>
      <c r="H308" s="6">
        <f>IF(OR(A308="",F308=""),"",F308-G308)</f>
        <v/>
      </c>
      <c r="I308">
        <f>IF(OR(A308="",F308=""),"",IF(H308&lt;=0.004,"Paid",IF(AND(E308&lt;&gt;"",TODAY()&gt;E308),"Overdue",IF(G308&gt;0,"Partial","Open"))))</f>
        <v/>
      </c>
      <c r="J308">
        <f>IF(I308="Overdue",TODAY()-E308,"")</f>
        <v/>
      </c>
    </row>
    <row r="309">
      <c r="A309" s="16" t="n"/>
      <c r="B309" s="16" t="n"/>
      <c r="C309" s="15" t="n"/>
      <c r="D309" s="16" t="n"/>
      <c r="E309" s="20">
        <f>IF(OR(C309="",D309=""),"",C309+D309)</f>
        <v/>
      </c>
      <c r="F309" s="18" t="n"/>
      <c r="G309" s="6">
        <f>IF(A309="","",SUMIFS(Income!$E$5:$E$504,Income!$C$5:$C$504,A309))</f>
        <v/>
      </c>
      <c r="H309" s="6">
        <f>IF(OR(A309="",F309=""),"",F309-G309)</f>
        <v/>
      </c>
      <c r="I309">
        <f>IF(OR(A309="",F309=""),"",IF(H309&lt;=0.004,"Paid",IF(AND(E309&lt;&gt;"",TODAY()&gt;E309),"Overdue",IF(G309&gt;0,"Partial","Open"))))</f>
        <v/>
      </c>
      <c r="J309">
        <f>IF(I309="Overdue",TODAY()-E309,"")</f>
        <v/>
      </c>
    </row>
    <row r="310">
      <c r="A310" s="16" t="n"/>
      <c r="B310" s="16" t="n"/>
      <c r="C310" s="15" t="n"/>
      <c r="D310" s="16" t="n"/>
      <c r="E310" s="20">
        <f>IF(OR(C310="",D310=""),"",C310+D310)</f>
        <v/>
      </c>
      <c r="F310" s="18" t="n"/>
      <c r="G310" s="6">
        <f>IF(A310="","",SUMIFS(Income!$E$5:$E$504,Income!$C$5:$C$504,A310))</f>
        <v/>
      </c>
      <c r="H310" s="6">
        <f>IF(OR(A310="",F310=""),"",F310-G310)</f>
        <v/>
      </c>
      <c r="I310">
        <f>IF(OR(A310="",F310=""),"",IF(H310&lt;=0.004,"Paid",IF(AND(E310&lt;&gt;"",TODAY()&gt;E310),"Overdue",IF(G310&gt;0,"Partial","Open"))))</f>
        <v/>
      </c>
      <c r="J310">
        <f>IF(I310="Overdue",TODAY()-E310,"")</f>
        <v/>
      </c>
    </row>
    <row r="311">
      <c r="A311" s="16" t="n"/>
      <c r="B311" s="16" t="n"/>
      <c r="C311" s="15" t="n"/>
      <c r="D311" s="16" t="n"/>
      <c r="E311" s="20">
        <f>IF(OR(C311="",D311=""),"",C311+D311)</f>
        <v/>
      </c>
      <c r="F311" s="18" t="n"/>
      <c r="G311" s="6">
        <f>IF(A311="","",SUMIFS(Income!$E$5:$E$504,Income!$C$5:$C$504,A311))</f>
        <v/>
      </c>
      <c r="H311" s="6">
        <f>IF(OR(A311="",F311=""),"",F311-G311)</f>
        <v/>
      </c>
      <c r="I311">
        <f>IF(OR(A311="",F311=""),"",IF(H311&lt;=0.004,"Paid",IF(AND(E311&lt;&gt;"",TODAY()&gt;E311),"Overdue",IF(G311&gt;0,"Partial","Open"))))</f>
        <v/>
      </c>
      <c r="J311">
        <f>IF(I311="Overdue",TODAY()-E311,"")</f>
        <v/>
      </c>
    </row>
    <row r="312">
      <c r="A312" s="16" t="n"/>
      <c r="B312" s="16" t="n"/>
      <c r="C312" s="15" t="n"/>
      <c r="D312" s="16" t="n"/>
      <c r="E312" s="20">
        <f>IF(OR(C312="",D312=""),"",C312+D312)</f>
        <v/>
      </c>
      <c r="F312" s="18" t="n"/>
      <c r="G312" s="6">
        <f>IF(A312="","",SUMIFS(Income!$E$5:$E$504,Income!$C$5:$C$504,A312))</f>
        <v/>
      </c>
      <c r="H312" s="6">
        <f>IF(OR(A312="",F312=""),"",F312-G312)</f>
        <v/>
      </c>
      <c r="I312">
        <f>IF(OR(A312="",F312=""),"",IF(H312&lt;=0.004,"Paid",IF(AND(E312&lt;&gt;"",TODAY()&gt;E312),"Overdue",IF(G312&gt;0,"Partial","Open"))))</f>
        <v/>
      </c>
      <c r="J312">
        <f>IF(I312="Overdue",TODAY()-E312,"")</f>
        <v/>
      </c>
    </row>
    <row r="313">
      <c r="A313" s="16" t="n"/>
      <c r="B313" s="16" t="n"/>
      <c r="C313" s="15" t="n"/>
      <c r="D313" s="16" t="n"/>
      <c r="E313" s="20">
        <f>IF(OR(C313="",D313=""),"",C313+D313)</f>
        <v/>
      </c>
      <c r="F313" s="18" t="n"/>
      <c r="G313" s="6">
        <f>IF(A313="","",SUMIFS(Income!$E$5:$E$504,Income!$C$5:$C$504,A313))</f>
        <v/>
      </c>
      <c r="H313" s="6">
        <f>IF(OR(A313="",F313=""),"",F313-G313)</f>
        <v/>
      </c>
      <c r="I313">
        <f>IF(OR(A313="",F313=""),"",IF(H313&lt;=0.004,"Paid",IF(AND(E313&lt;&gt;"",TODAY()&gt;E313),"Overdue",IF(G313&gt;0,"Partial","Open"))))</f>
        <v/>
      </c>
      <c r="J313">
        <f>IF(I313="Overdue",TODAY()-E313,"")</f>
        <v/>
      </c>
    </row>
    <row r="314">
      <c r="A314" s="16" t="n"/>
      <c r="B314" s="16" t="n"/>
      <c r="C314" s="15" t="n"/>
      <c r="D314" s="16" t="n"/>
      <c r="E314" s="20">
        <f>IF(OR(C314="",D314=""),"",C314+D314)</f>
        <v/>
      </c>
      <c r="F314" s="18" t="n"/>
      <c r="G314" s="6">
        <f>IF(A314="","",SUMIFS(Income!$E$5:$E$504,Income!$C$5:$C$504,A314))</f>
        <v/>
      </c>
      <c r="H314" s="6">
        <f>IF(OR(A314="",F314=""),"",F314-G314)</f>
        <v/>
      </c>
      <c r="I314">
        <f>IF(OR(A314="",F314=""),"",IF(H314&lt;=0.004,"Paid",IF(AND(E314&lt;&gt;"",TODAY()&gt;E314),"Overdue",IF(G314&gt;0,"Partial","Open"))))</f>
        <v/>
      </c>
      <c r="J314">
        <f>IF(I314="Overdue",TODAY()-E314,"")</f>
        <v/>
      </c>
    </row>
    <row r="315">
      <c r="A315" s="16" t="n"/>
      <c r="B315" s="16" t="n"/>
      <c r="C315" s="15" t="n"/>
      <c r="D315" s="16" t="n"/>
      <c r="E315" s="20">
        <f>IF(OR(C315="",D315=""),"",C315+D315)</f>
        <v/>
      </c>
      <c r="F315" s="18" t="n"/>
      <c r="G315" s="6">
        <f>IF(A315="","",SUMIFS(Income!$E$5:$E$504,Income!$C$5:$C$504,A315))</f>
        <v/>
      </c>
      <c r="H315" s="6">
        <f>IF(OR(A315="",F315=""),"",F315-G315)</f>
        <v/>
      </c>
      <c r="I315">
        <f>IF(OR(A315="",F315=""),"",IF(H315&lt;=0.004,"Paid",IF(AND(E315&lt;&gt;"",TODAY()&gt;E315),"Overdue",IF(G315&gt;0,"Partial","Open"))))</f>
        <v/>
      </c>
      <c r="J315">
        <f>IF(I315="Overdue",TODAY()-E315,"")</f>
        <v/>
      </c>
    </row>
    <row r="316">
      <c r="A316" s="16" t="n"/>
      <c r="B316" s="16" t="n"/>
      <c r="C316" s="15" t="n"/>
      <c r="D316" s="16" t="n"/>
      <c r="E316" s="20">
        <f>IF(OR(C316="",D316=""),"",C316+D316)</f>
        <v/>
      </c>
      <c r="F316" s="18" t="n"/>
      <c r="G316" s="6">
        <f>IF(A316="","",SUMIFS(Income!$E$5:$E$504,Income!$C$5:$C$504,A316))</f>
        <v/>
      </c>
      <c r="H316" s="6">
        <f>IF(OR(A316="",F316=""),"",F316-G316)</f>
        <v/>
      </c>
      <c r="I316">
        <f>IF(OR(A316="",F316=""),"",IF(H316&lt;=0.004,"Paid",IF(AND(E316&lt;&gt;"",TODAY()&gt;E316),"Overdue",IF(G316&gt;0,"Partial","Open"))))</f>
        <v/>
      </c>
      <c r="J316">
        <f>IF(I316="Overdue",TODAY()-E316,"")</f>
        <v/>
      </c>
    </row>
    <row r="317">
      <c r="A317" s="16" t="n"/>
      <c r="B317" s="16" t="n"/>
      <c r="C317" s="15" t="n"/>
      <c r="D317" s="16" t="n"/>
      <c r="E317" s="20">
        <f>IF(OR(C317="",D317=""),"",C317+D317)</f>
        <v/>
      </c>
      <c r="F317" s="18" t="n"/>
      <c r="G317" s="6">
        <f>IF(A317="","",SUMIFS(Income!$E$5:$E$504,Income!$C$5:$C$504,A317))</f>
        <v/>
      </c>
      <c r="H317" s="6">
        <f>IF(OR(A317="",F317=""),"",F317-G317)</f>
        <v/>
      </c>
      <c r="I317">
        <f>IF(OR(A317="",F317=""),"",IF(H317&lt;=0.004,"Paid",IF(AND(E317&lt;&gt;"",TODAY()&gt;E317),"Overdue",IF(G317&gt;0,"Partial","Open"))))</f>
        <v/>
      </c>
      <c r="J317">
        <f>IF(I317="Overdue",TODAY()-E317,"")</f>
        <v/>
      </c>
    </row>
    <row r="318">
      <c r="A318" s="16" t="n"/>
      <c r="B318" s="16" t="n"/>
      <c r="C318" s="15" t="n"/>
      <c r="D318" s="16" t="n"/>
      <c r="E318" s="20">
        <f>IF(OR(C318="",D318=""),"",C318+D318)</f>
        <v/>
      </c>
      <c r="F318" s="18" t="n"/>
      <c r="G318" s="6">
        <f>IF(A318="","",SUMIFS(Income!$E$5:$E$504,Income!$C$5:$C$504,A318))</f>
        <v/>
      </c>
      <c r="H318" s="6">
        <f>IF(OR(A318="",F318=""),"",F318-G318)</f>
        <v/>
      </c>
      <c r="I318">
        <f>IF(OR(A318="",F318=""),"",IF(H318&lt;=0.004,"Paid",IF(AND(E318&lt;&gt;"",TODAY()&gt;E318),"Overdue",IF(G318&gt;0,"Partial","Open"))))</f>
        <v/>
      </c>
      <c r="J318">
        <f>IF(I318="Overdue",TODAY()-E318,"")</f>
        <v/>
      </c>
    </row>
    <row r="319">
      <c r="A319" s="16" t="n"/>
      <c r="B319" s="16" t="n"/>
      <c r="C319" s="15" t="n"/>
      <c r="D319" s="16" t="n"/>
      <c r="E319" s="20">
        <f>IF(OR(C319="",D319=""),"",C319+D319)</f>
        <v/>
      </c>
      <c r="F319" s="18" t="n"/>
      <c r="G319" s="6">
        <f>IF(A319="","",SUMIFS(Income!$E$5:$E$504,Income!$C$5:$C$504,A319))</f>
        <v/>
      </c>
      <c r="H319" s="6">
        <f>IF(OR(A319="",F319=""),"",F319-G319)</f>
        <v/>
      </c>
      <c r="I319">
        <f>IF(OR(A319="",F319=""),"",IF(H319&lt;=0.004,"Paid",IF(AND(E319&lt;&gt;"",TODAY()&gt;E319),"Overdue",IF(G319&gt;0,"Partial","Open"))))</f>
        <v/>
      </c>
      <c r="J319">
        <f>IF(I319="Overdue",TODAY()-E319,"")</f>
        <v/>
      </c>
    </row>
    <row r="320">
      <c r="A320" s="16" t="n"/>
      <c r="B320" s="16" t="n"/>
      <c r="C320" s="15" t="n"/>
      <c r="D320" s="16" t="n"/>
      <c r="E320" s="20">
        <f>IF(OR(C320="",D320=""),"",C320+D320)</f>
        <v/>
      </c>
      <c r="F320" s="18" t="n"/>
      <c r="G320" s="6">
        <f>IF(A320="","",SUMIFS(Income!$E$5:$E$504,Income!$C$5:$C$504,A320))</f>
        <v/>
      </c>
      <c r="H320" s="6">
        <f>IF(OR(A320="",F320=""),"",F320-G320)</f>
        <v/>
      </c>
      <c r="I320">
        <f>IF(OR(A320="",F320=""),"",IF(H320&lt;=0.004,"Paid",IF(AND(E320&lt;&gt;"",TODAY()&gt;E320),"Overdue",IF(G320&gt;0,"Partial","Open"))))</f>
        <v/>
      </c>
      <c r="J320">
        <f>IF(I320="Overdue",TODAY()-E320,"")</f>
        <v/>
      </c>
    </row>
    <row r="321">
      <c r="A321" s="16" t="n"/>
      <c r="B321" s="16" t="n"/>
      <c r="C321" s="15" t="n"/>
      <c r="D321" s="16" t="n"/>
      <c r="E321" s="20">
        <f>IF(OR(C321="",D321=""),"",C321+D321)</f>
        <v/>
      </c>
      <c r="F321" s="18" t="n"/>
      <c r="G321" s="6">
        <f>IF(A321="","",SUMIFS(Income!$E$5:$E$504,Income!$C$5:$C$504,A321))</f>
        <v/>
      </c>
      <c r="H321" s="6">
        <f>IF(OR(A321="",F321=""),"",F321-G321)</f>
        <v/>
      </c>
      <c r="I321">
        <f>IF(OR(A321="",F321=""),"",IF(H321&lt;=0.004,"Paid",IF(AND(E321&lt;&gt;"",TODAY()&gt;E321),"Overdue",IF(G321&gt;0,"Partial","Open"))))</f>
        <v/>
      </c>
      <c r="J321">
        <f>IF(I321="Overdue",TODAY()-E321,"")</f>
        <v/>
      </c>
    </row>
    <row r="322">
      <c r="A322" s="16" t="n"/>
      <c r="B322" s="16" t="n"/>
      <c r="C322" s="15" t="n"/>
      <c r="D322" s="16" t="n"/>
      <c r="E322" s="20">
        <f>IF(OR(C322="",D322=""),"",C322+D322)</f>
        <v/>
      </c>
      <c r="F322" s="18" t="n"/>
      <c r="G322" s="6">
        <f>IF(A322="","",SUMIFS(Income!$E$5:$E$504,Income!$C$5:$C$504,A322))</f>
        <v/>
      </c>
      <c r="H322" s="6">
        <f>IF(OR(A322="",F322=""),"",F322-G322)</f>
        <v/>
      </c>
      <c r="I322">
        <f>IF(OR(A322="",F322=""),"",IF(H322&lt;=0.004,"Paid",IF(AND(E322&lt;&gt;"",TODAY()&gt;E322),"Overdue",IF(G322&gt;0,"Partial","Open"))))</f>
        <v/>
      </c>
      <c r="J322">
        <f>IF(I322="Overdue",TODAY()-E322,"")</f>
        <v/>
      </c>
    </row>
    <row r="323">
      <c r="A323" s="16" t="n"/>
      <c r="B323" s="16" t="n"/>
      <c r="C323" s="15" t="n"/>
      <c r="D323" s="16" t="n"/>
      <c r="E323" s="20">
        <f>IF(OR(C323="",D323=""),"",C323+D323)</f>
        <v/>
      </c>
      <c r="F323" s="18" t="n"/>
      <c r="G323" s="6">
        <f>IF(A323="","",SUMIFS(Income!$E$5:$E$504,Income!$C$5:$C$504,A323))</f>
        <v/>
      </c>
      <c r="H323" s="6">
        <f>IF(OR(A323="",F323=""),"",F323-G323)</f>
        <v/>
      </c>
      <c r="I323">
        <f>IF(OR(A323="",F323=""),"",IF(H323&lt;=0.004,"Paid",IF(AND(E323&lt;&gt;"",TODAY()&gt;E323),"Overdue",IF(G323&gt;0,"Partial","Open"))))</f>
        <v/>
      </c>
      <c r="J323">
        <f>IF(I323="Overdue",TODAY()-E323,"")</f>
        <v/>
      </c>
    </row>
    <row r="324">
      <c r="A324" s="16" t="n"/>
      <c r="B324" s="16" t="n"/>
      <c r="C324" s="15" t="n"/>
      <c r="D324" s="16" t="n"/>
      <c r="E324" s="20">
        <f>IF(OR(C324="",D324=""),"",C324+D324)</f>
        <v/>
      </c>
      <c r="F324" s="18" t="n"/>
      <c r="G324" s="6">
        <f>IF(A324="","",SUMIFS(Income!$E$5:$E$504,Income!$C$5:$C$504,A324))</f>
        <v/>
      </c>
      <c r="H324" s="6">
        <f>IF(OR(A324="",F324=""),"",F324-G324)</f>
        <v/>
      </c>
      <c r="I324">
        <f>IF(OR(A324="",F324=""),"",IF(H324&lt;=0.004,"Paid",IF(AND(E324&lt;&gt;"",TODAY()&gt;E324),"Overdue",IF(G324&gt;0,"Partial","Open"))))</f>
        <v/>
      </c>
      <c r="J324">
        <f>IF(I324="Overdue",TODAY()-E324,"")</f>
        <v/>
      </c>
    </row>
    <row r="325">
      <c r="A325" s="16" t="n"/>
      <c r="B325" s="16" t="n"/>
      <c r="C325" s="15" t="n"/>
      <c r="D325" s="16" t="n"/>
      <c r="E325" s="20">
        <f>IF(OR(C325="",D325=""),"",C325+D325)</f>
        <v/>
      </c>
      <c r="F325" s="18" t="n"/>
      <c r="G325" s="6">
        <f>IF(A325="","",SUMIFS(Income!$E$5:$E$504,Income!$C$5:$C$504,A325))</f>
        <v/>
      </c>
      <c r="H325" s="6">
        <f>IF(OR(A325="",F325=""),"",F325-G325)</f>
        <v/>
      </c>
      <c r="I325">
        <f>IF(OR(A325="",F325=""),"",IF(H325&lt;=0.004,"Paid",IF(AND(E325&lt;&gt;"",TODAY()&gt;E325),"Overdue",IF(G325&gt;0,"Partial","Open"))))</f>
        <v/>
      </c>
      <c r="J325">
        <f>IF(I325="Overdue",TODAY()-E325,"")</f>
        <v/>
      </c>
    </row>
    <row r="326">
      <c r="A326" s="16" t="n"/>
      <c r="B326" s="16" t="n"/>
      <c r="C326" s="15" t="n"/>
      <c r="D326" s="16" t="n"/>
      <c r="E326" s="20">
        <f>IF(OR(C326="",D326=""),"",C326+D326)</f>
        <v/>
      </c>
      <c r="F326" s="18" t="n"/>
      <c r="G326" s="6">
        <f>IF(A326="","",SUMIFS(Income!$E$5:$E$504,Income!$C$5:$C$504,A326))</f>
        <v/>
      </c>
      <c r="H326" s="6">
        <f>IF(OR(A326="",F326=""),"",F326-G326)</f>
        <v/>
      </c>
      <c r="I326">
        <f>IF(OR(A326="",F326=""),"",IF(H326&lt;=0.004,"Paid",IF(AND(E326&lt;&gt;"",TODAY()&gt;E326),"Overdue",IF(G326&gt;0,"Partial","Open"))))</f>
        <v/>
      </c>
      <c r="J326">
        <f>IF(I326="Overdue",TODAY()-E326,"")</f>
        <v/>
      </c>
    </row>
    <row r="327">
      <c r="A327" s="16" t="n"/>
      <c r="B327" s="16" t="n"/>
      <c r="C327" s="15" t="n"/>
      <c r="D327" s="16" t="n"/>
      <c r="E327" s="20">
        <f>IF(OR(C327="",D327=""),"",C327+D327)</f>
        <v/>
      </c>
      <c r="F327" s="18" t="n"/>
      <c r="G327" s="6">
        <f>IF(A327="","",SUMIFS(Income!$E$5:$E$504,Income!$C$5:$C$504,A327))</f>
        <v/>
      </c>
      <c r="H327" s="6">
        <f>IF(OR(A327="",F327=""),"",F327-G327)</f>
        <v/>
      </c>
      <c r="I327">
        <f>IF(OR(A327="",F327=""),"",IF(H327&lt;=0.004,"Paid",IF(AND(E327&lt;&gt;"",TODAY()&gt;E327),"Overdue",IF(G327&gt;0,"Partial","Open"))))</f>
        <v/>
      </c>
      <c r="J327">
        <f>IF(I327="Overdue",TODAY()-E327,"")</f>
        <v/>
      </c>
    </row>
    <row r="328">
      <c r="A328" s="16" t="n"/>
      <c r="B328" s="16" t="n"/>
      <c r="C328" s="15" t="n"/>
      <c r="D328" s="16" t="n"/>
      <c r="E328" s="20">
        <f>IF(OR(C328="",D328=""),"",C328+D328)</f>
        <v/>
      </c>
      <c r="F328" s="18" t="n"/>
      <c r="G328" s="6">
        <f>IF(A328="","",SUMIFS(Income!$E$5:$E$504,Income!$C$5:$C$504,A328))</f>
        <v/>
      </c>
      <c r="H328" s="6">
        <f>IF(OR(A328="",F328=""),"",F328-G328)</f>
        <v/>
      </c>
      <c r="I328">
        <f>IF(OR(A328="",F328=""),"",IF(H328&lt;=0.004,"Paid",IF(AND(E328&lt;&gt;"",TODAY()&gt;E328),"Overdue",IF(G328&gt;0,"Partial","Open"))))</f>
        <v/>
      </c>
      <c r="J328">
        <f>IF(I328="Overdue",TODAY()-E328,"")</f>
        <v/>
      </c>
    </row>
    <row r="329">
      <c r="A329" s="16" t="n"/>
      <c r="B329" s="16" t="n"/>
      <c r="C329" s="15" t="n"/>
      <c r="D329" s="16" t="n"/>
      <c r="E329" s="20">
        <f>IF(OR(C329="",D329=""),"",C329+D329)</f>
        <v/>
      </c>
      <c r="F329" s="18" t="n"/>
      <c r="G329" s="6">
        <f>IF(A329="","",SUMIFS(Income!$E$5:$E$504,Income!$C$5:$C$504,A329))</f>
        <v/>
      </c>
      <c r="H329" s="6">
        <f>IF(OR(A329="",F329=""),"",F329-G329)</f>
        <v/>
      </c>
      <c r="I329">
        <f>IF(OR(A329="",F329=""),"",IF(H329&lt;=0.004,"Paid",IF(AND(E329&lt;&gt;"",TODAY()&gt;E329),"Overdue",IF(G329&gt;0,"Partial","Open"))))</f>
        <v/>
      </c>
      <c r="J329">
        <f>IF(I329="Overdue",TODAY()-E329,"")</f>
        <v/>
      </c>
    </row>
    <row r="330">
      <c r="A330" s="16" t="n"/>
      <c r="B330" s="16" t="n"/>
      <c r="C330" s="15" t="n"/>
      <c r="D330" s="16" t="n"/>
      <c r="E330" s="20">
        <f>IF(OR(C330="",D330=""),"",C330+D330)</f>
        <v/>
      </c>
      <c r="F330" s="18" t="n"/>
      <c r="G330" s="6">
        <f>IF(A330="","",SUMIFS(Income!$E$5:$E$504,Income!$C$5:$C$504,A330))</f>
        <v/>
      </c>
      <c r="H330" s="6">
        <f>IF(OR(A330="",F330=""),"",F330-G330)</f>
        <v/>
      </c>
      <c r="I330">
        <f>IF(OR(A330="",F330=""),"",IF(H330&lt;=0.004,"Paid",IF(AND(E330&lt;&gt;"",TODAY()&gt;E330),"Overdue",IF(G330&gt;0,"Partial","Open"))))</f>
        <v/>
      </c>
      <c r="J330">
        <f>IF(I330="Overdue",TODAY()-E330,"")</f>
        <v/>
      </c>
    </row>
    <row r="331">
      <c r="A331" s="16" t="n"/>
      <c r="B331" s="16" t="n"/>
      <c r="C331" s="15" t="n"/>
      <c r="D331" s="16" t="n"/>
      <c r="E331" s="20">
        <f>IF(OR(C331="",D331=""),"",C331+D331)</f>
        <v/>
      </c>
      <c r="F331" s="18" t="n"/>
      <c r="G331" s="6">
        <f>IF(A331="","",SUMIFS(Income!$E$5:$E$504,Income!$C$5:$C$504,A331))</f>
        <v/>
      </c>
      <c r="H331" s="6">
        <f>IF(OR(A331="",F331=""),"",F331-G331)</f>
        <v/>
      </c>
      <c r="I331">
        <f>IF(OR(A331="",F331=""),"",IF(H331&lt;=0.004,"Paid",IF(AND(E331&lt;&gt;"",TODAY()&gt;E331),"Overdue",IF(G331&gt;0,"Partial","Open"))))</f>
        <v/>
      </c>
      <c r="J331">
        <f>IF(I331="Overdue",TODAY()-E331,"")</f>
        <v/>
      </c>
    </row>
    <row r="332">
      <c r="A332" s="16" t="n"/>
      <c r="B332" s="16" t="n"/>
      <c r="C332" s="15" t="n"/>
      <c r="D332" s="16" t="n"/>
      <c r="E332" s="20">
        <f>IF(OR(C332="",D332=""),"",C332+D332)</f>
        <v/>
      </c>
      <c r="F332" s="18" t="n"/>
      <c r="G332" s="6">
        <f>IF(A332="","",SUMIFS(Income!$E$5:$E$504,Income!$C$5:$C$504,A332))</f>
        <v/>
      </c>
      <c r="H332" s="6">
        <f>IF(OR(A332="",F332=""),"",F332-G332)</f>
        <v/>
      </c>
      <c r="I332">
        <f>IF(OR(A332="",F332=""),"",IF(H332&lt;=0.004,"Paid",IF(AND(E332&lt;&gt;"",TODAY()&gt;E332),"Overdue",IF(G332&gt;0,"Partial","Open"))))</f>
        <v/>
      </c>
      <c r="J332">
        <f>IF(I332="Overdue",TODAY()-E332,"")</f>
        <v/>
      </c>
    </row>
    <row r="333">
      <c r="A333" s="16" t="n"/>
      <c r="B333" s="16" t="n"/>
      <c r="C333" s="15" t="n"/>
      <c r="D333" s="16" t="n"/>
      <c r="E333" s="20">
        <f>IF(OR(C333="",D333=""),"",C333+D333)</f>
        <v/>
      </c>
      <c r="F333" s="18" t="n"/>
      <c r="G333" s="6">
        <f>IF(A333="","",SUMIFS(Income!$E$5:$E$504,Income!$C$5:$C$504,A333))</f>
        <v/>
      </c>
      <c r="H333" s="6">
        <f>IF(OR(A333="",F333=""),"",F333-G333)</f>
        <v/>
      </c>
      <c r="I333">
        <f>IF(OR(A333="",F333=""),"",IF(H333&lt;=0.004,"Paid",IF(AND(E333&lt;&gt;"",TODAY()&gt;E333),"Overdue",IF(G333&gt;0,"Partial","Open"))))</f>
        <v/>
      </c>
      <c r="J333">
        <f>IF(I333="Overdue",TODAY()-E333,"")</f>
        <v/>
      </c>
    </row>
    <row r="334">
      <c r="A334" s="16" t="n"/>
      <c r="B334" s="16" t="n"/>
      <c r="C334" s="15" t="n"/>
      <c r="D334" s="16" t="n"/>
      <c r="E334" s="20">
        <f>IF(OR(C334="",D334=""),"",C334+D334)</f>
        <v/>
      </c>
      <c r="F334" s="18" t="n"/>
      <c r="G334" s="6">
        <f>IF(A334="","",SUMIFS(Income!$E$5:$E$504,Income!$C$5:$C$504,A334))</f>
        <v/>
      </c>
      <c r="H334" s="6">
        <f>IF(OR(A334="",F334=""),"",F334-G334)</f>
        <v/>
      </c>
      <c r="I334">
        <f>IF(OR(A334="",F334=""),"",IF(H334&lt;=0.004,"Paid",IF(AND(E334&lt;&gt;"",TODAY()&gt;E334),"Overdue",IF(G334&gt;0,"Partial","Open"))))</f>
        <v/>
      </c>
      <c r="J334">
        <f>IF(I334="Overdue",TODAY()-E334,"")</f>
        <v/>
      </c>
    </row>
    <row r="335">
      <c r="A335" s="16" t="n"/>
      <c r="B335" s="16" t="n"/>
      <c r="C335" s="15" t="n"/>
      <c r="D335" s="16" t="n"/>
      <c r="E335" s="20">
        <f>IF(OR(C335="",D335=""),"",C335+D335)</f>
        <v/>
      </c>
      <c r="F335" s="18" t="n"/>
      <c r="G335" s="6">
        <f>IF(A335="","",SUMIFS(Income!$E$5:$E$504,Income!$C$5:$C$504,A335))</f>
        <v/>
      </c>
      <c r="H335" s="6">
        <f>IF(OR(A335="",F335=""),"",F335-G335)</f>
        <v/>
      </c>
      <c r="I335">
        <f>IF(OR(A335="",F335=""),"",IF(H335&lt;=0.004,"Paid",IF(AND(E335&lt;&gt;"",TODAY()&gt;E335),"Overdue",IF(G335&gt;0,"Partial","Open"))))</f>
        <v/>
      </c>
      <c r="J335">
        <f>IF(I335="Overdue",TODAY()-E335,"")</f>
        <v/>
      </c>
    </row>
    <row r="336">
      <c r="A336" s="16" t="n"/>
      <c r="B336" s="16" t="n"/>
      <c r="C336" s="15" t="n"/>
      <c r="D336" s="16" t="n"/>
      <c r="E336" s="20">
        <f>IF(OR(C336="",D336=""),"",C336+D336)</f>
        <v/>
      </c>
      <c r="F336" s="18" t="n"/>
      <c r="G336" s="6">
        <f>IF(A336="","",SUMIFS(Income!$E$5:$E$504,Income!$C$5:$C$504,A336))</f>
        <v/>
      </c>
      <c r="H336" s="6">
        <f>IF(OR(A336="",F336=""),"",F336-G336)</f>
        <v/>
      </c>
      <c r="I336">
        <f>IF(OR(A336="",F336=""),"",IF(H336&lt;=0.004,"Paid",IF(AND(E336&lt;&gt;"",TODAY()&gt;E336),"Overdue",IF(G336&gt;0,"Partial","Open"))))</f>
        <v/>
      </c>
      <c r="J336">
        <f>IF(I336="Overdue",TODAY()-E336,"")</f>
        <v/>
      </c>
    </row>
    <row r="337">
      <c r="A337" s="16" t="n"/>
      <c r="B337" s="16" t="n"/>
      <c r="C337" s="15" t="n"/>
      <c r="D337" s="16" t="n"/>
      <c r="E337" s="20">
        <f>IF(OR(C337="",D337=""),"",C337+D337)</f>
        <v/>
      </c>
      <c r="F337" s="18" t="n"/>
      <c r="G337" s="6">
        <f>IF(A337="","",SUMIFS(Income!$E$5:$E$504,Income!$C$5:$C$504,A337))</f>
        <v/>
      </c>
      <c r="H337" s="6">
        <f>IF(OR(A337="",F337=""),"",F337-G337)</f>
        <v/>
      </c>
      <c r="I337">
        <f>IF(OR(A337="",F337=""),"",IF(H337&lt;=0.004,"Paid",IF(AND(E337&lt;&gt;"",TODAY()&gt;E337),"Overdue",IF(G337&gt;0,"Partial","Open"))))</f>
        <v/>
      </c>
      <c r="J337">
        <f>IF(I337="Overdue",TODAY()-E337,"")</f>
        <v/>
      </c>
    </row>
    <row r="338">
      <c r="A338" s="16" t="n"/>
      <c r="B338" s="16" t="n"/>
      <c r="C338" s="15" t="n"/>
      <c r="D338" s="16" t="n"/>
      <c r="E338" s="20">
        <f>IF(OR(C338="",D338=""),"",C338+D338)</f>
        <v/>
      </c>
      <c r="F338" s="18" t="n"/>
      <c r="G338" s="6">
        <f>IF(A338="","",SUMIFS(Income!$E$5:$E$504,Income!$C$5:$C$504,A338))</f>
        <v/>
      </c>
      <c r="H338" s="6">
        <f>IF(OR(A338="",F338=""),"",F338-G338)</f>
        <v/>
      </c>
      <c r="I338">
        <f>IF(OR(A338="",F338=""),"",IF(H338&lt;=0.004,"Paid",IF(AND(E338&lt;&gt;"",TODAY()&gt;E338),"Overdue",IF(G338&gt;0,"Partial","Open"))))</f>
        <v/>
      </c>
      <c r="J338">
        <f>IF(I338="Overdue",TODAY()-E338,"")</f>
        <v/>
      </c>
    </row>
    <row r="339">
      <c r="A339" s="16" t="n"/>
      <c r="B339" s="16" t="n"/>
      <c r="C339" s="15" t="n"/>
      <c r="D339" s="16" t="n"/>
      <c r="E339" s="20">
        <f>IF(OR(C339="",D339=""),"",C339+D339)</f>
        <v/>
      </c>
      <c r="F339" s="18" t="n"/>
      <c r="G339" s="6">
        <f>IF(A339="","",SUMIFS(Income!$E$5:$E$504,Income!$C$5:$C$504,A339))</f>
        <v/>
      </c>
      <c r="H339" s="6">
        <f>IF(OR(A339="",F339=""),"",F339-G339)</f>
        <v/>
      </c>
      <c r="I339">
        <f>IF(OR(A339="",F339=""),"",IF(H339&lt;=0.004,"Paid",IF(AND(E339&lt;&gt;"",TODAY()&gt;E339),"Overdue",IF(G339&gt;0,"Partial","Open"))))</f>
        <v/>
      </c>
      <c r="J339">
        <f>IF(I339="Overdue",TODAY()-E339,"")</f>
        <v/>
      </c>
    </row>
    <row r="340">
      <c r="A340" s="16" t="n"/>
      <c r="B340" s="16" t="n"/>
      <c r="C340" s="15" t="n"/>
      <c r="D340" s="16" t="n"/>
      <c r="E340" s="20">
        <f>IF(OR(C340="",D340=""),"",C340+D340)</f>
        <v/>
      </c>
      <c r="F340" s="18" t="n"/>
      <c r="G340" s="6">
        <f>IF(A340="","",SUMIFS(Income!$E$5:$E$504,Income!$C$5:$C$504,A340))</f>
        <v/>
      </c>
      <c r="H340" s="6">
        <f>IF(OR(A340="",F340=""),"",F340-G340)</f>
        <v/>
      </c>
      <c r="I340">
        <f>IF(OR(A340="",F340=""),"",IF(H340&lt;=0.004,"Paid",IF(AND(E340&lt;&gt;"",TODAY()&gt;E340),"Overdue",IF(G340&gt;0,"Partial","Open"))))</f>
        <v/>
      </c>
      <c r="J340">
        <f>IF(I340="Overdue",TODAY()-E340,"")</f>
        <v/>
      </c>
    </row>
    <row r="341">
      <c r="A341" s="16" t="n"/>
      <c r="B341" s="16" t="n"/>
      <c r="C341" s="15" t="n"/>
      <c r="D341" s="16" t="n"/>
      <c r="E341" s="20">
        <f>IF(OR(C341="",D341=""),"",C341+D341)</f>
        <v/>
      </c>
      <c r="F341" s="18" t="n"/>
      <c r="G341" s="6">
        <f>IF(A341="","",SUMIFS(Income!$E$5:$E$504,Income!$C$5:$C$504,A341))</f>
        <v/>
      </c>
      <c r="H341" s="6">
        <f>IF(OR(A341="",F341=""),"",F341-G341)</f>
        <v/>
      </c>
      <c r="I341">
        <f>IF(OR(A341="",F341=""),"",IF(H341&lt;=0.004,"Paid",IF(AND(E341&lt;&gt;"",TODAY()&gt;E341),"Overdue",IF(G341&gt;0,"Partial","Open"))))</f>
        <v/>
      </c>
      <c r="J341">
        <f>IF(I341="Overdue",TODAY()-E341,"")</f>
        <v/>
      </c>
    </row>
    <row r="342">
      <c r="A342" s="16" t="n"/>
      <c r="B342" s="16" t="n"/>
      <c r="C342" s="15" t="n"/>
      <c r="D342" s="16" t="n"/>
      <c r="E342" s="20">
        <f>IF(OR(C342="",D342=""),"",C342+D342)</f>
        <v/>
      </c>
      <c r="F342" s="18" t="n"/>
      <c r="G342" s="6">
        <f>IF(A342="","",SUMIFS(Income!$E$5:$E$504,Income!$C$5:$C$504,A342))</f>
        <v/>
      </c>
      <c r="H342" s="6">
        <f>IF(OR(A342="",F342=""),"",F342-G342)</f>
        <v/>
      </c>
      <c r="I342">
        <f>IF(OR(A342="",F342=""),"",IF(H342&lt;=0.004,"Paid",IF(AND(E342&lt;&gt;"",TODAY()&gt;E342),"Overdue",IF(G342&gt;0,"Partial","Open"))))</f>
        <v/>
      </c>
      <c r="J342">
        <f>IF(I342="Overdue",TODAY()-E342,"")</f>
        <v/>
      </c>
    </row>
    <row r="343">
      <c r="A343" s="16" t="n"/>
      <c r="B343" s="16" t="n"/>
      <c r="C343" s="15" t="n"/>
      <c r="D343" s="16" t="n"/>
      <c r="E343" s="20">
        <f>IF(OR(C343="",D343=""),"",C343+D343)</f>
        <v/>
      </c>
      <c r="F343" s="18" t="n"/>
      <c r="G343" s="6">
        <f>IF(A343="","",SUMIFS(Income!$E$5:$E$504,Income!$C$5:$C$504,A343))</f>
        <v/>
      </c>
      <c r="H343" s="6">
        <f>IF(OR(A343="",F343=""),"",F343-G343)</f>
        <v/>
      </c>
      <c r="I343">
        <f>IF(OR(A343="",F343=""),"",IF(H343&lt;=0.004,"Paid",IF(AND(E343&lt;&gt;"",TODAY()&gt;E343),"Overdue",IF(G343&gt;0,"Partial","Open"))))</f>
        <v/>
      </c>
      <c r="J343">
        <f>IF(I343="Overdue",TODAY()-E343,"")</f>
        <v/>
      </c>
    </row>
    <row r="344">
      <c r="A344" s="16" t="n"/>
      <c r="B344" s="16" t="n"/>
      <c r="C344" s="15" t="n"/>
      <c r="D344" s="16" t="n"/>
      <c r="E344" s="20">
        <f>IF(OR(C344="",D344=""),"",C344+D344)</f>
        <v/>
      </c>
      <c r="F344" s="18" t="n"/>
      <c r="G344" s="6">
        <f>IF(A344="","",SUMIFS(Income!$E$5:$E$504,Income!$C$5:$C$504,A344))</f>
        <v/>
      </c>
      <c r="H344" s="6">
        <f>IF(OR(A344="",F344=""),"",F344-G344)</f>
        <v/>
      </c>
      <c r="I344">
        <f>IF(OR(A344="",F344=""),"",IF(H344&lt;=0.004,"Paid",IF(AND(E344&lt;&gt;"",TODAY()&gt;E344),"Overdue",IF(G344&gt;0,"Partial","Open"))))</f>
        <v/>
      </c>
      <c r="J344">
        <f>IF(I344="Overdue",TODAY()-E344,"")</f>
        <v/>
      </c>
    </row>
    <row r="345">
      <c r="A345" s="16" t="n"/>
      <c r="B345" s="16" t="n"/>
      <c r="C345" s="15" t="n"/>
      <c r="D345" s="16" t="n"/>
      <c r="E345" s="20">
        <f>IF(OR(C345="",D345=""),"",C345+D345)</f>
        <v/>
      </c>
      <c r="F345" s="18" t="n"/>
      <c r="G345" s="6">
        <f>IF(A345="","",SUMIFS(Income!$E$5:$E$504,Income!$C$5:$C$504,A345))</f>
        <v/>
      </c>
      <c r="H345" s="6">
        <f>IF(OR(A345="",F345=""),"",F345-G345)</f>
        <v/>
      </c>
      <c r="I345">
        <f>IF(OR(A345="",F345=""),"",IF(H345&lt;=0.004,"Paid",IF(AND(E345&lt;&gt;"",TODAY()&gt;E345),"Overdue",IF(G345&gt;0,"Partial","Open"))))</f>
        <v/>
      </c>
      <c r="J345">
        <f>IF(I345="Overdue",TODAY()-E345,"")</f>
        <v/>
      </c>
    </row>
    <row r="346">
      <c r="A346" s="16" t="n"/>
      <c r="B346" s="16" t="n"/>
      <c r="C346" s="15" t="n"/>
      <c r="D346" s="16" t="n"/>
      <c r="E346" s="20">
        <f>IF(OR(C346="",D346=""),"",C346+D346)</f>
        <v/>
      </c>
      <c r="F346" s="18" t="n"/>
      <c r="G346" s="6">
        <f>IF(A346="","",SUMIFS(Income!$E$5:$E$504,Income!$C$5:$C$504,A346))</f>
        <v/>
      </c>
      <c r="H346" s="6">
        <f>IF(OR(A346="",F346=""),"",F346-G346)</f>
        <v/>
      </c>
      <c r="I346">
        <f>IF(OR(A346="",F346=""),"",IF(H346&lt;=0.004,"Paid",IF(AND(E346&lt;&gt;"",TODAY()&gt;E346),"Overdue",IF(G346&gt;0,"Partial","Open"))))</f>
        <v/>
      </c>
      <c r="J346">
        <f>IF(I346="Overdue",TODAY()-E346,"")</f>
        <v/>
      </c>
    </row>
    <row r="347">
      <c r="A347" s="16" t="n"/>
      <c r="B347" s="16" t="n"/>
      <c r="C347" s="15" t="n"/>
      <c r="D347" s="16" t="n"/>
      <c r="E347" s="20">
        <f>IF(OR(C347="",D347=""),"",C347+D347)</f>
        <v/>
      </c>
      <c r="F347" s="18" t="n"/>
      <c r="G347" s="6">
        <f>IF(A347="","",SUMIFS(Income!$E$5:$E$504,Income!$C$5:$C$504,A347))</f>
        <v/>
      </c>
      <c r="H347" s="6">
        <f>IF(OR(A347="",F347=""),"",F347-G347)</f>
        <v/>
      </c>
      <c r="I347">
        <f>IF(OR(A347="",F347=""),"",IF(H347&lt;=0.004,"Paid",IF(AND(E347&lt;&gt;"",TODAY()&gt;E347),"Overdue",IF(G347&gt;0,"Partial","Open"))))</f>
        <v/>
      </c>
      <c r="J347">
        <f>IF(I347="Overdue",TODAY()-E347,"")</f>
        <v/>
      </c>
    </row>
    <row r="348">
      <c r="A348" s="16" t="n"/>
      <c r="B348" s="16" t="n"/>
      <c r="C348" s="15" t="n"/>
      <c r="D348" s="16" t="n"/>
      <c r="E348" s="20">
        <f>IF(OR(C348="",D348=""),"",C348+D348)</f>
        <v/>
      </c>
      <c r="F348" s="18" t="n"/>
      <c r="G348" s="6">
        <f>IF(A348="","",SUMIFS(Income!$E$5:$E$504,Income!$C$5:$C$504,A348))</f>
        <v/>
      </c>
      <c r="H348" s="6">
        <f>IF(OR(A348="",F348=""),"",F348-G348)</f>
        <v/>
      </c>
      <c r="I348">
        <f>IF(OR(A348="",F348=""),"",IF(H348&lt;=0.004,"Paid",IF(AND(E348&lt;&gt;"",TODAY()&gt;E348),"Overdue",IF(G348&gt;0,"Partial","Open"))))</f>
        <v/>
      </c>
      <c r="J348">
        <f>IF(I348="Overdue",TODAY()-E348,"")</f>
        <v/>
      </c>
    </row>
    <row r="349">
      <c r="A349" s="16" t="n"/>
      <c r="B349" s="16" t="n"/>
      <c r="C349" s="15" t="n"/>
      <c r="D349" s="16" t="n"/>
      <c r="E349" s="20">
        <f>IF(OR(C349="",D349=""),"",C349+D349)</f>
        <v/>
      </c>
      <c r="F349" s="18" t="n"/>
      <c r="G349" s="6">
        <f>IF(A349="","",SUMIFS(Income!$E$5:$E$504,Income!$C$5:$C$504,A349))</f>
        <v/>
      </c>
      <c r="H349" s="6">
        <f>IF(OR(A349="",F349=""),"",F349-G349)</f>
        <v/>
      </c>
      <c r="I349">
        <f>IF(OR(A349="",F349=""),"",IF(H349&lt;=0.004,"Paid",IF(AND(E349&lt;&gt;"",TODAY()&gt;E349),"Overdue",IF(G349&gt;0,"Partial","Open"))))</f>
        <v/>
      </c>
      <c r="J349">
        <f>IF(I349="Overdue",TODAY()-E349,"")</f>
        <v/>
      </c>
    </row>
    <row r="350">
      <c r="A350" s="16" t="n"/>
      <c r="B350" s="16" t="n"/>
      <c r="C350" s="15" t="n"/>
      <c r="D350" s="16" t="n"/>
      <c r="E350" s="20">
        <f>IF(OR(C350="",D350=""),"",C350+D350)</f>
        <v/>
      </c>
      <c r="F350" s="18" t="n"/>
      <c r="G350" s="6">
        <f>IF(A350="","",SUMIFS(Income!$E$5:$E$504,Income!$C$5:$C$504,A350))</f>
        <v/>
      </c>
      <c r="H350" s="6">
        <f>IF(OR(A350="",F350=""),"",F350-G350)</f>
        <v/>
      </c>
      <c r="I350">
        <f>IF(OR(A350="",F350=""),"",IF(H350&lt;=0.004,"Paid",IF(AND(E350&lt;&gt;"",TODAY()&gt;E350),"Overdue",IF(G350&gt;0,"Partial","Open"))))</f>
        <v/>
      </c>
      <c r="J350">
        <f>IF(I350="Overdue",TODAY()-E350,"")</f>
        <v/>
      </c>
    </row>
    <row r="351">
      <c r="A351" s="16" t="n"/>
      <c r="B351" s="16" t="n"/>
      <c r="C351" s="15" t="n"/>
      <c r="D351" s="16" t="n"/>
      <c r="E351" s="20">
        <f>IF(OR(C351="",D351=""),"",C351+D351)</f>
        <v/>
      </c>
      <c r="F351" s="18" t="n"/>
      <c r="G351" s="6">
        <f>IF(A351="","",SUMIFS(Income!$E$5:$E$504,Income!$C$5:$C$504,A351))</f>
        <v/>
      </c>
      <c r="H351" s="6">
        <f>IF(OR(A351="",F351=""),"",F351-G351)</f>
        <v/>
      </c>
      <c r="I351">
        <f>IF(OR(A351="",F351=""),"",IF(H351&lt;=0.004,"Paid",IF(AND(E351&lt;&gt;"",TODAY()&gt;E351),"Overdue",IF(G351&gt;0,"Partial","Open"))))</f>
        <v/>
      </c>
      <c r="J351">
        <f>IF(I351="Overdue",TODAY()-E351,"")</f>
        <v/>
      </c>
    </row>
    <row r="352">
      <c r="A352" s="16" t="n"/>
      <c r="B352" s="16" t="n"/>
      <c r="C352" s="15" t="n"/>
      <c r="D352" s="16" t="n"/>
      <c r="E352" s="20">
        <f>IF(OR(C352="",D352=""),"",C352+D352)</f>
        <v/>
      </c>
      <c r="F352" s="18" t="n"/>
      <c r="G352" s="6">
        <f>IF(A352="","",SUMIFS(Income!$E$5:$E$504,Income!$C$5:$C$504,A352))</f>
        <v/>
      </c>
      <c r="H352" s="6">
        <f>IF(OR(A352="",F352=""),"",F352-G352)</f>
        <v/>
      </c>
      <c r="I352">
        <f>IF(OR(A352="",F352=""),"",IF(H352&lt;=0.004,"Paid",IF(AND(E352&lt;&gt;"",TODAY()&gt;E352),"Overdue",IF(G352&gt;0,"Partial","Open"))))</f>
        <v/>
      </c>
      <c r="J352">
        <f>IF(I352="Overdue",TODAY()-E352,"")</f>
        <v/>
      </c>
    </row>
    <row r="353">
      <c r="A353" s="16" t="n"/>
      <c r="B353" s="16" t="n"/>
      <c r="C353" s="15" t="n"/>
      <c r="D353" s="16" t="n"/>
      <c r="E353" s="20">
        <f>IF(OR(C353="",D353=""),"",C353+D353)</f>
        <v/>
      </c>
      <c r="F353" s="18" t="n"/>
      <c r="G353" s="6">
        <f>IF(A353="","",SUMIFS(Income!$E$5:$E$504,Income!$C$5:$C$504,A353))</f>
        <v/>
      </c>
      <c r="H353" s="6">
        <f>IF(OR(A353="",F353=""),"",F353-G353)</f>
        <v/>
      </c>
      <c r="I353">
        <f>IF(OR(A353="",F353=""),"",IF(H353&lt;=0.004,"Paid",IF(AND(E353&lt;&gt;"",TODAY()&gt;E353),"Overdue",IF(G353&gt;0,"Partial","Open"))))</f>
        <v/>
      </c>
      <c r="J353">
        <f>IF(I353="Overdue",TODAY()-E353,"")</f>
        <v/>
      </c>
    </row>
    <row r="354">
      <c r="A354" s="16" t="n"/>
      <c r="B354" s="16" t="n"/>
      <c r="C354" s="15" t="n"/>
      <c r="D354" s="16" t="n"/>
      <c r="E354" s="20">
        <f>IF(OR(C354="",D354=""),"",C354+D354)</f>
        <v/>
      </c>
      <c r="F354" s="18" t="n"/>
      <c r="G354" s="6">
        <f>IF(A354="","",SUMIFS(Income!$E$5:$E$504,Income!$C$5:$C$504,A354))</f>
        <v/>
      </c>
      <c r="H354" s="6">
        <f>IF(OR(A354="",F354=""),"",F354-G354)</f>
        <v/>
      </c>
      <c r="I354">
        <f>IF(OR(A354="",F354=""),"",IF(H354&lt;=0.004,"Paid",IF(AND(E354&lt;&gt;"",TODAY()&gt;E354),"Overdue",IF(G354&gt;0,"Partial","Open"))))</f>
        <v/>
      </c>
      <c r="J354">
        <f>IF(I354="Overdue",TODAY()-E354,"")</f>
        <v/>
      </c>
    </row>
    <row r="355">
      <c r="A355" s="16" t="n"/>
      <c r="B355" s="16" t="n"/>
      <c r="C355" s="15" t="n"/>
      <c r="D355" s="16" t="n"/>
      <c r="E355" s="20">
        <f>IF(OR(C355="",D355=""),"",C355+D355)</f>
        <v/>
      </c>
      <c r="F355" s="18" t="n"/>
      <c r="G355" s="6">
        <f>IF(A355="","",SUMIFS(Income!$E$5:$E$504,Income!$C$5:$C$504,A355))</f>
        <v/>
      </c>
      <c r="H355" s="6">
        <f>IF(OR(A355="",F355=""),"",F355-G355)</f>
        <v/>
      </c>
      <c r="I355">
        <f>IF(OR(A355="",F355=""),"",IF(H355&lt;=0.004,"Paid",IF(AND(E355&lt;&gt;"",TODAY()&gt;E355),"Overdue",IF(G355&gt;0,"Partial","Open"))))</f>
        <v/>
      </c>
      <c r="J355">
        <f>IF(I355="Overdue",TODAY()-E355,"")</f>
        <v/>
      </c>
    </row>
    <row r="356">
      <c r="A356" s="16" t="n"/>
      <c r="B356" s="16" t="n"/>
      <c r="C356" s="15" t="n"/>
      <c r="D356" s="16" t="n"/>
      <c r="E356" s="20">
        <f>IF(OR(C356="",D356=""),"",C356+D356)</f>
        <v/>
      </c>
      <c r="F356" s="18" t="n"/>
      <c r="G356" s="6">
        <f>IF(A356="","",SUMIFS(Income!$E$5:$E$504,Income!$C$5:$C$504,A356))</f>
        <v/>
      </c>
      <c r="H356" s="6">
        <f>IF(OR(A356="",F356=""),"",F356-G356)</f>
        <v/>
      </c>
      <c r="I356">
        <f>IF(OR(A356="",F356=""),"",IF(H356&lt;=0.004,"Paid",IF(AND(E356&lt;&gt;"",TODAY()&gt;E356),"Overdue",IF(G356&gt;0,"Partial","Open"))))</f>
        <v/>
      </c>
      <c r="J356">
        <f>IF(I356="Overdue",TODAY()-E356,"")</f>
        <v/>
      </c>
    </row>
    <row r="357">
      <c r="A357" s="16" t="n"/>
      <c r="B357" s="16" t="n"/>
      <c r="C357" s="15" t="n"/>
      <c r="D357" s="16" t="n"/>
      <c r="E357" s="20">
        <f>IF(OR(C357="",D357=""),"",C357+D357)</f>
        <v/>
      </c>
      <c r="F357" s="18" t="n"/>
      <c r="G357" s="6">
        <f>IF(A357="","",SUMIFS(Income!$E$5:$E$504,Income!$C$5:$C$504,A357))</f>
        <v/>
      </c>
      <c r="H357" s="6">
        <f>IF(OR(A357="",F357=""),"",F357-G357)</f>
        <v/>
      </c>
      <c r="I357">
        <f>IF(OR(A357="",F357=""),"",IF(H357&lt;=0.004,"Paid",IF(AND(E357&lt;&gt;"",TODAY()&gt;E357),"Overdue",IF(G357&gt;0,"Partial","Open"))))</f>
        <v/>
      </c>
      <c r="J357">
        <f>IF(I357="Overdue",TODAY()-E357,"")</f>
        <v/>
      </c>
    </row>
    <row r="358">
      <c r="A358" s="16" t="n"/>
      <c r="B358" s="16" t="n"/>
      <c r="C358" s="15" t="n"/>
      <c r="D358" s="16" t="n"/>
      <c r="E358" s="20">
        <f>IF(OR(C358="",D358=""),"",C358+D358)</f>
        <v/>
      </c>
      <c r="F358" s="18" t="n"/>
      <c r="G358" s="6">
        <f>IF(A358="","",SUMIFS(Income!$E$5:$E$504,Income!$C$5:$C$504,A358))</f>
        <v/>
      </c>
      <c r="H358" s="6">
        <f>IF(OR(A358="",F358=""),"",F358-G358)</f>
        <v/>
      </c>
      <c r="I358">
        <f>IF(OR(A358="",F358=""),"",IF(H358&lt;=0.004,"Paid",IF(AND(E358&lt;&gt;"",TODAY()&gt;E358),"Overdue",IF(G358&gt;0,"Partial","Open"))))</f>
        <v/>
      </c>
      <c r="J358">
        <f>IF(I358="Overdue",TODAY()-E358,"")</f>
        <v/>
      </c>
    </row>
    <row r="359">
      <c r="A359" s="16" t="n"/>
      <c r="B359" s="16" t="n"/>
      <c r="C359" s="15" t="n"/>
      <c r="D359" s="16" t="n"/>
      <c r="E359" s="20">
        <f>IF(OR(C359="",D359=""),"",C359+D359)</f>
        <v/>
      </c>
      <c r="F359" s="18" t="n"/>
      <c r="G359" s="6">
        <f>IF(A359="","",SUMIFS(Income!$E$5:$E$504,Income!$C$5:$C$504,A359))</f>
        <v/>
      </c>
      <c r="H359" s="6">
        <f>IF(OR(A359="",F359=""),"",F359-G359)</f>
        <v/>
      </c>
      <c r="I359">
        <f>IF(OR(A359="",F359=""),"",IF(H359&lt;=0.004,"Paid",IF(AND(E359&lt;&gt;"",TODAY()&gt;E359),"Overdue",IF(G359&gt;0,"Partial","Open"))))</f>
        <v/>
      </c>
      <c r="J359">
        <f>IF(I359="Overdue",TODAY()-E359,"")</f>
        <v/>
      </c>
    </row>
    <row r="360">
      <c r="A360" s="16" t="n"/>
      <c r="B360" s="16" t="n"/>
      <c r="C360" s="15" t="n"/>
      <c r="D360" s="16" t="n"/>
      <c r="E360" s="20">
        <f>IF(OR(C360="",D360=""),"",C360+D360)</f>
        <v/>
      </c>
      <c r="F360" s="18" t="n"/>
      <c r="G360" s="6">
        <f>IF(A360="","",SUMIFS(Income!$E$5:$E$504,Income!$C$5:$C$504,A360))</f>
        <v/>
      </c>
      <c r="H360" s="6">
        <f>IF(OR(A360="",F360=""),"",F360-G360)</f>
        <v/>
      </c>
      <c r="I360">
        <f>IF(OR(A360="",F360=""),"",IF(H360&lt;=0.004,"Paid",IF(AND(E360&lt;&gt;"",TODAY()&gt;E360),"Overdue",IF(G360&gt;0,"Partial","Open"))))</f>
        <v/>
      </c>
      <c r="J360">
        <f>IF(I360="Overdue",TODAY()-E360,"")</f>
        <v/>
      </c>
    </row>
    <row r="361">
      <c r="A361" s="16" t="n"/>
      <c r="B361" s="16" t="n"/>
      <c r="C361" s="15" t="n"/>
      <c r="D361" s="16" t="n"/>
      <c r="E361" s="20">
        <f>IF(OR(C361="",D361=""),"",C361+D361)</f>
        <v/>
      </c>
      <c r="F361" s="18" t="n"/>
      <c r="G361" s="6">
        <f>IF(A361="","",SUMIFS(Income!$E$5:$E$504,Income!$C$5:$C$504,A361))</f>
        <v/>
      </c>
      <c r="H361" s="6">
        <f>IF(OR(A361="",F361=""),"",F361-G361)</f>
        <v/>
      </c>
      <c r="I361">
        <f>IF(OR(A361="",F361=""),"",IF(H361&lt;=0.004,"Paid",IF(AND(E361&lt;&gt;"",TODAY()&gt;E361),"Overdue",IF(G361&gt;0,"Partial","Open"))))</f>
        <v/>
      </c>
      <c r="J361">
        <f>IF(I361="Overdue",TODAY()-E361,"")</f>
        <v/>
      </c>
    </row>
    <row r="362">
      <c r="A362" s="16" t="n"/>
      <c r="B362" s="16" t="n"/>
      <c r="C362" s="15" t="n"/>
      <c r="D362" s="16" t="n"/>
      <c r="E362" s="20">
        <f>IF(OR(C362="",D362=""),"",C362+D362)</f>
        <v/>
      </c>
      <c r="F362" s="18" t="n"/>
      <c r="G362" s="6">
        <f>IF(A362="","",SUMIFS(Income!$E$5:$E$504,Income!$C$5:$C$504,A362))</f>
        <v/>
      </c>
      <c r="H362" s="6">
        <f>IF(OR(A362="",F362=""),"",F362-G362)</f>
        <v/>
      </c>
      <c r="I362">
        <f>IF(OR(A362="",F362=""),"",IF(H362&lt;=0.004,"Paid",IF(AND(E362&lt;&gt;"",TODAY()&gt;E362),"Overdue",IF(G362&gt;0,"Partial","Open"))))</f>
        <v/>
      </c>
      <c r="J362">
        <f>IF(I362="Overdue",TODAY()-E362,"")</f>
        <v/>
      </c>
    </row>
    <row r="363">
      <c r="A363" s="16" t="n"/>
      <c r="B363" s="16" t="n"/>
      <c r="C363" s="15" t="n"/>
      <c r="D363" s="16" t="n"/>
      <c r="E363" s="20">
        <f>IF(OR(C363="",D363=""),"",C363+D363)</f>
        <v/>
      </c>
      <c r="F363" s="18" t="n"/>
      <c r="G363" s="6">
        <f>IF(A363="","",SUMIFS(Income!$E$5:$E$504,Income!$C$5:$C$504,A363))</f>
        <v/>
      </c>
      <c r="H363" s="6">
        <f>IF(OR(A363="",F363=""),"",F363-G363)</f>
        <v/>
      </c>
      <c r="I363">
        <f>IF(OR(A363="",F363=""),"",IF(H363&lt;=0.004,"Paid",IF(AND(E363&lt;&gt;"",TODAY()&gt;E363),"Overdue",IF(G363&gt;0,"Partial","Open"))))</f>
        <v/>
      </c>
      <c r="J363">
        <f>IF(I363="Overdue",TODAY()-E363,"")</f>
        <v/>
      </c>
    </row>
    <row r="364">
      <c r="A364" s="16" t="n"/>
      <c r="B364" s="16" t="n"/>
      <c r="C364" s="15" t="n"/>
      <c r="D364" s="16" t="n"/>
      <c r="E364" s="20">
        <f>IF(OR(C364="",D364=""),"",C364+D364)</f>
        <v/>
      </c>
      <c r="F364" s="18" t="n"/>
      <c r="G364" s="6">
        <f>IF(A364="","",SUMIFS(Income!$E$5:$E$504,Income!$C$5:$C$504,A364))</f>
        <v/>
      </c>
      <c r="H364" s="6">
        <f>IF(OR(A364="",F364=""),"",F364-G364)</f>
        <v/>
      </c>
      <c r="I364">
        <f>IF(OR(A364="",F364=""),"",IF(H364&lt;=0.004,"Paid",IF(AND(E364&lt;&gt;"",TODAY()&gt;E364),"Overdue",IF(G364&gt;0,"Partial","Open"))))</f>
        <v/>
      </c>
      <c r="J364">
        <f>IF(I364="Overdue",TODAY()-E364,"")</f>
        <v/>
      </c>
    </row>
    <row r="365">
      <c r="A365" s="16" t="n"/>
      <c r="B365" s="16" t="n"/>
      <c r="C365" s="15" t="n"/>
      <c r="D365" s="16" t="n"/>
      <c r="E365" s="20">
        <f>IF(OR(C365="",D365=""),"",C365+D365)</f>
        <v/>
      </c>
      <c r="F365" s="18" t="n"/>
      <c r="G365" s="6">
        <f>IF(A365="","",SUMIFS(Income!$E$5:$E$504,Income!$C$5:$C$504,A365))</f>
        <v/>
      </c>
      <c r="H365" s="6">
        <f>IF(OR(A365="",F365=""),"",F365-G365)</f>
        <v/>
      </c>
      <c r="I365">
        <f>IF(OR(A365="",F365=""),"",IF(H365&lt;=0.004,"Paid",IF(AND(E365&lt;&gt;"",TODAY()&gt;E365),"Overdue",IF(G365&gt;0,"Partial","Open"))))</f>
        <v/>
      </c>
      <c r="J365">
        <f>IF(I365="Overdue",TODAY()-E365,"")</f>
        <v/>
      </c>
    </row>
    <row r="366">
      <c r="A366" s="16" t="n"/>
      <c r="B366" s="16" t="n"/>
      <c r="C366" s="15" t="n"/>
      <c r="D366" s="16" t="n"/>
      <c r="E366" s="20">
        <f>IF(OR(C366="",D366=""),"",C366+D366)</f>
        <v/>
      </c>
      <c r="F366" s="18" t="n"/>
      <c r="G366" s="6">
        <f>IF(A366="","",SUMIFS(Income!$E$5:$E$504,Income!$C$5:$C$504,A366))</f>
        <v/>
      </c>
      <c r="H366" s="6">
        <f>IF(OR(A366="",F366=""),"",F366-G366)</f>
        <v/>
      </c>
      <c r="I366">
        <f>IF(OR(A366="",F366=""),"",IF(H366&lt;=0.004,"Paid",IF(AND(E366&lt;&gt;"",TODAY()&gt;E366),"Overdue",IF(G366&gt;0,"Partial","Open"))))</f>
        <v/>
      </c>
      <c r="J366">
        <f>IF(I366="Overdue",TODAY()-E366,"")</f>
        <v/>
      </c>
    </row>
    <row r="367">
      <c r="A367" s="16" t="n"/>
      <c r="B367" s="16" t="n"/>
      <c r="C367" s="15" t="n"/>
      <c r="D367" s="16" t="n"/>
      <c r="E367" s="20">
        <f>IF(OR(C367="",D367=""),"",C367+D367)</f>
        <v/>
      </c>
      <c r="F367" s="18" t="n"/>
      <c r="G367" s="6">
        <f>IF(A367="","",SUMIFS(Income!$E$5:$E$504,Income!$C$5:$C$504,A367))</f>
        <v/>
      </c>
      <c r="H367" s="6">
        <f>IF(OR(A367="",F367=""),"",F367-G367)</f>
        <v/>
      </c>
      <c r="I367">
        <f>IF(OR(A367="",F367=""),"",IF(H367&lt;=0.004,"Paid",IF(AND(E367&lt;&gt;"",TODAY()&gt;E367),"Overdue",IF(G367&gt;0,"Partial","Open"))))</f>
        <v/>
      </c>
      <c r="J367">
        <f>IF(I367="Overdue",TODAY()-E367,"")</f>
        <v/>
      </c>
    </row>
    <row r="368">
      <c r="A368" s="16" t="n"/>
      <c r="B368" s="16" t="n"/>
      <c r="C368" s="15" t="n"/>
      <c r="D368" s="16" t="n"/>
      <c r="E368" s="20">
        <f>IF(OR(C368="",D368=""),"",C368+D368)</f>
        <v/>
      </c>
      <c r="F368" s="18" t="n"/>
      <c r="G368" s="6">
        <f>IF(A368="","",SUMIFS(Income!$E$5:$E$504,Income!$C$5:$C$504,A368))</f>
        <v/>
      </c>
      <c r="H368" s="6">
        <f>IF(OR(A368="",F368=""),"",F368-G368)</f>
        <v/>
      </c>
      <c r="I368">
        <f>IF(OR(A368="",F368=""),"",IF(H368&lt;=0.004,"Paid",IF(AND(E368&lt;&gt;"",TODAY()&gt;E368),"Overdue",IF(G368&gt;0,"Partial","Open"))))</f>
        <v/>
      </c>
      <c r="J368">
        <f>IF(I368="Overdue",TODAY()-E368,"")</f>
        <v/>
      </c>
    </row>
    <row r="369">
      <c r="A369" s="16" t="n"/>
      <c r="B369" s="16" t="n"/>
      <c r="C369" s="15" t="n"/>
      <c r="D369" s="16" t="n"/>
      <c r="E369" s="20">
        <f>IF(OR(C369="",D369=""),"",C369+D369)</f>
        <v/>
      </c>
      <c r="F369" s="18" t="n"/>
      <c r="G369" s="6">
        <f>IF(A369="","",SUMIFS(Income!$E$5:$E$504,Income!$C$5:$C$504,A369))</f>
        <v/>
      </c>
      <c r="H369" s="6">
        <f>IF(OR(A369="",F369=""),"",F369-G369)</f>
        <v/>
      </c>
      <c r="I369">
        <f>IF(OR(A369="",F369=""),"",IF(H369&lt;=0.004,"Paid",IF(AND(E369&lt;&gt;"",TODAY()&gt;E369),"Overdue",IF(G369&gt;0,"Partial","Open"))))</f>
        <v/>
      </c>
      <c r="J369">
        <f>IF(I369="Overdue",TODAY()-E369,"")</f>
        <v/>
      </c>
    </row>
    <row r="370">
      <c r="A370" s="16" t="n"/>
      <c r="B370" s="16" t="n"/>
      <c r="C370" s="15" t="n"/>
      <c r="D370" s="16" t="n"/>
      <c r="E370" s="20">
        <f>IF(OR(C370="",D370=""),"",C370+D370)</f>
        <v/>
      </c>
      <c r="F370" s="18" t="n"/>
      <c r="G370" s="6">
        <f>IF(A370="","",SUMIFS(Income!$E$5:$E$504,Income!$C$5:$C$504,A370))</f>
        <v/>
      </c>
      <c r="H370" s="6">
        <f>IF(OR(A370="",F370=""),"",F370-G370)</f>
        <v/>
      </c>
      <c r="I370">
        <f>IF(OR(A370="",F370=""),"",IF(H370&lt;=0.004,"Paid",IF(AND(E370&lt;&gt;"",TODAY()&gt;E370),"Overdue",IF(G370&gt;0,"Partial","Open"))))</f>
        <v/>
      </c>
      <c r="J370">
        <f>IF(I370="Overdue",TODAY()-E370,"")</f>
        <v/>
      </c>
    </row>
    <row r="371">
      <c r="A371" s="16" t="n"/>
      <c r="B371" s="16" t="n"/>
      <c r="C371" s="15" t="n"/>
      <c r="D371" s="16" t="n"/>
      <c r="E371" s="20">
        <f>IF(OR(C371="",D371=""),"",C371+D371)</f>
        <v/>
      </c>
      <c r="F371" s="18" t="n"/>
      <c r="G371" s="6">
        <f>IF(A371="","",SUMIFS(Income!$E$5:$E$504,Income!$C$5:$C$504,A371))</f>
        <v/>
      </c>
      <c r="H371" s="6">
        <f>IF(OR(A371="",F371=""),"",F371-G371)</f>
        <v/>
      </c>
      <c r="I371">
        <f>IF(OR(A371="",F371=""),"",IF(H371&lt;=0.004,"Paid",IF(AND(E371&lt;&gt;"",TODAY()&gt;E371),"Overdue",IF(G371&gt;0,"Partial","Open"))))</f>
        <v/>
      </c>
      <c r="J371">
        <f>IF(I371="Overdue",TODAY()-E371,"")</f>
        <v/>
      </c>
    </row>
    <row r="372">
      <c r="A372" s="16" t="n"/>
      <c r="B372" s="16" t="n"/>
      <c r="C372" s="15" t="n"/>
      <c r="D372" s="16" t="n"/>
      <c r="E372" s="20">
        <f>IF(OR(C372="",D372=""),"",C372+D372)</f>
        <v/>
      </c>
      <c r="F372" s="18" t="n"/>
      <c r="G372" s="6">
        <f>IF(A372="","",SUMIFS(Income!$E$5:$E$504,Income!$C$5:$C$504,A372))</f>
        <v/>
      </c>
      <c r="H372" s="6">
        <f>IF(OR(A372="",F372=""),"",F372-G372)</f>
        <v/>
      </c>
      <c r="I372">
        <f>IF(OR(A372="",F372=""),"",IF(H372&lt;=0.004,"Paid",IF(AND(E372&lt;&gt;"",TODAY()&gt;E372),"Overdue",IF(G372&gt;0,"Partial","Open"))))</f>
        <v/>
      </c>
      <c r="J372">
        <f>IF(I372="Overdue",TODAY()-E372,"")</f>
        <v/>
      </c>
    </row>
    <row r="373">
      <c r="A373" s="16" t="n"/>
      <c r="B373" s="16" t="n"/>
      <c r="C373" s="15" t="n"/>
      <c r="D373" s="16" t="n"/>
      <c r="E373" s="20">
        <f>IF(OR(C373="",D373=""),"",C373+D373)</f>
        <v/>
      </c>
      <c r="F373" s="18" t="n"/>
      <c r="G373" s="6">
        <f>IF(A373="","",SUMIFS(Income!$E$5:$E$504,Income!$C$5:$C$504,A373))</f>
        <v/>
      </c>
      <c r="H373" s="6">
        <f>IF(OR(A373="",F373=""),"",F373-G373)</f>
        <v/>
      </c>
      <c r="I373">
        <f>IF(OR(A373="",F373=""),"",IF(H373&lt;=0.004,"Paid",IF(AND(E373&lt;&gt;"",TODAY()&gt;E373),"Overdue",IF(G373&gt;0,"Partial","Open"))))</f>
        <v/>
      </c>
      <c r="J373">
        <f>IF(I373="Overdue",TODAY()-E373,"")</f>
        <v/>
      </c>
    </row>
    <row r="374">
      <c r="A374" s="16" t="n"/>
      <c r="B374" s="16" t="n"/>
      <c r="C374" s="15" t="n"/>
      <c r="D374" s="16" t="n"/>
      <c r="E374" s="20">
        <f>IF(OR(C374="",D374=""),"",C374+D374)</f>
        <v/>
      </c>
      <c r="F374" s="18" t="n"/>
      <c r="G374" s="6">
        <f>IF(A374="","",SUMIFS(Income!$E$5:$E$504,Income!$C$5:$C$504,A374))</f>
        <v/>
      </c>
      <c r="H374" s="6">
        <f>IF(OR(A374="",F374=""),"",F374-G374)</f>
        <v/>
      </c>
      <c r="I374">
        <f>IF(OR(A374="",F374=""),"",IF(H374&lt;=0.004,"Paid",IF(AND(E374&lt;&gt;"",TODAY()&gt;E374),"Overdue",IF(G374&gt;0,"Partial","Open"))))</f>
        <v/>
      </c>
      <c r="J374">
        <f>IF(I374="Overdue",TODAY()-E374,"")</f>
        <v/>
      </c>
    </row>
    <row r="375">
      <c r="A375" s="16" t="n"/>
      <c r="B375" s="16" t="n"/>
      <c r="C375" s="15" t="n"/>
      <c r="D375" s="16" t="n"/>
      <c r="E375" s="20">
        <f>IF(OR(C375="",D375=""),"",C375+D375)</f>
        <v/>
      </c>
      <c r="F375" s="18" t="n"/>
      <c r="G375" s="6">
        <f>IF(A375="","",SUMIFS(Income!$E$5:$E$504,Income!$C$5:$C$504,A375))</f>
        <v/>
      </c>
      <c r="H375" s="6">
        <f>IF(OR(A375="",F375=""),"",F375-G375)</f>
        <v/>
      </c>
      <c r="I375">
        <f>IF(OR(A375="",F375=""),"",IF(H375&lt;=0.004,"Paid",IF(AND(E375&lt;&gt;"",TODAY()&gt;E375),"Overdue",IF(G375&gt;0,"Partial","Open"))))</f>
        <v/>
      </c>
      <c r="J375">
        <f>IF(I375="Overdue",TODAY()-E375,"")</f>
        <v/>
      </c>
    </row>
    <row r="376">
      <c r="A376" s="16" t="n"/>
      <c r="B376" s="16" t="n"/>
      <c r="C376" s="15" t="n"/>
      <c r="D376" s="16" t="n"/>
      <c r="E376" s="20">
        <f>IF(OR(C376="",D376=""),"",C376+D376)</f>
        <v/>
      </c>
      <c r="F376" s="18" t="n"/>
      <c r="G376" s="6">
        <f>IF(A376="","",SUMIFS(Income!$E$5:$E$504,Income!$C$5:$C$504,A376))</f>
        <v/>
      </c>
      <c r="H376" s="6">
        <f>IF(OR(A376="",F376=""),"",F376-G376)</f>
        <v/>
      </c>
      <c r="I376">
        <f>IF(OR(A376="",F376=""),"",IF(H376&lt;=0.004,"Paid",IF(AND(E376&lt;&gt;"",TODAY()&gt;E376),"Overdue",IF(G376&gt;0,"Partial","Open"))))</f>
        <v/>
      </c>
      <c r="J376">
        <f>IF(I376="Overdue",TODAY()-E376,"")</f>
        <v/>
      </c>
    </row>
    <row r="377">
      <c r="A377" s="16" t="n"/>
      <c r="B377" s="16" t="n"/>
      <c r="C377" s="15" t="n"/>
      <c r="D377" s="16" t="n"/>
      <c r="E377" s="20">
        <f>IF(OR(C377="",D377=""),"",C377+D377)</f>
        <v/>
      </c>
      <c r="F377" s="18" t="n"/>
      <c r="G377" s="6">
        <f>IF(A377="","",SUMIFS(Income!$E$5:$E$504,Income!$C$5:$C$504,A377))</f>
        <v/>
      </c>
      <c r="H377" s="6">
        <f>IF(OR(A377="",F377=""),"",F377-G377)</f>
        <v/>
      </c>
      <c r="I377">
        <f>IF(OR(A377="",F377=""),"",IF(H377&lt;=0.004,"Paid",IF(AND(E377&lt;&gt;"",TODAY()&gt;E377),"Overdue",IF(G377&gt;0,"Partial","Open"))))</f>
        <v/>
      </c>
      <c r="J377">
        <f>IF(I377="Overdue",TODAY()-E377,"")</f>
        <v/>
      </c>
    </row>
    <row r="378">
      <c r="A378" s="16" t="n"/>
      <c r="B378" s="16" t="n"/>
      <c r="C378" s="15" t="n"/>
      <c r="D378" s="16" t="n"/>
      <c r="E378" s="20">
        <f>IF(OR(C378="",D378=""),"",C378+D378)</f>
        <v/>
      </c>
      <c r="F378" s="18" t="n"/>
      <c r="G378" s="6">
        <f>IF(A378="","",SUMIFS(Income!$E$5:$E$504,Income!$C$5:$C$504,A378))</f>
        <v/>
      </c>
      <c r="H378" s="6">
        <f>IF(OR(A378="",F378=""),"",F378-G378)</f>
        <v/>
      </c>
      <c r="I378">
        <f>IF(OR(A378="",F378=""),"",IF(H378&lt;=0.004,"Paid",IF(AND(E378&lt;&gt;"",TODAY()&gt;E378),"Overdue",IF(G378&gt;0,"Partial","Open"))))</f>
        <v/>
      </c>
      <c r="J378">
        <f>IF(I378="Overdue",TODAY()-E378,"")</f>
        <v/>
      </c>
    </row>
    <row r="379">
      <c r="A379" s="16" t="n"/>
      <c r="B379" s="16" t="n"/>
      <c r="C379" s="15" t="n"/>
      <c r="D379" s="16" t="n"/>
      <c r="E379" s="20">
        <f>IF(OR(C379="",D379=""),"",C379+D379)</f>
        <v/>
      </c>
      <c r="F379" s="18" t="n"/>
      <c r="G379" s="6">
        <f>IF(A379="","",SUMIFS(Income!$E$5:$E$504,Income!$C$5:$C$504,A379))</f>
        <v/>
      </c>
      <c r="H379" s="6">
        <f>IF(OR(A379="",F379=""),"",F379-G379)</f>
        <v/>
      </c>
      <c r="I379">
        <f>IF(OR(A379="",F379=""),"",IF(H379&lt;=0.004,"Paid",IF(AND(E379&lt;&gt;"",TODAY()&gt;E379),"Overdue",IF(G379&gt;0,"Partial","Open"))))</f>
        <v/>
      </c>
      <c r="J379">
        <f>IF(I379="Overdue",TODAY()-E379,"")</f>
        <v/>
      </c>
    </row>
    <row r="380">
      <c r="A380" s="16" t="n"/>
      <c r="B380" s="16" t="n"/>
      <c r="C380" s="15" t="n"/>
      <c r="D380" s="16" t="n"/>
      <c r="E380" s="20">
        <f>IF(OR(C380="",D380=""),"",C380+D380)</f>
        <v/>
      </c>
      <c r="F380" s="18" t="n"/>
      <c r="G380" s="6">
        <f>IF(A380="","",SUMIFS(Income!$E$5:$E$504,Income!$C$5:$C$504,A380))</f>
        <v/>
      </c>
      <c r="H380" s="6">
        <f>IF(OR(A380="",F380=""),"",F380-G380)</f>
        <v/>
      </c>
      <c r="I380">
        <f>IF(OR(A380="",F380=""),"",IF(H380&lt;=0.004,"Paid",IF(AND(E380&lt;&gt;"",TODAY()&gt;E380),"Overdue",IF(G380&gt;0,"Partial","Open"))))</f>
        <v/>
      </c>
      <c r="J380">
        <f>IF(I380="Overdue",TODAY()-E380,"")</f>
        <v/>
      </c>
    </row>
    <row r="381">
      <c r="A381" s="16" t="n"/>
      <c r="B381" s="16" t="n"/>
      <c r="C381" s="15" t="n"/>
      <c r="D381" s="16" t="n"/>
      <c r="E381" s="20">
        <f>IF(OR(C381="",D381=""),"",C381+D381)</f>
        <v/>
      </c>
      <c r="F381" s="18" t="n"/>
      <c r="G381" s="6">
        <f>IF(A381="","",SUMIFS(Income!$E$5:$E$504,Income!$C$5:$C$504,A381))</f>
        <v/>
      </c>
      <c r="H381" s="6">
        <f>IF(OR(A381="",F381=""),"",F381-G381)</f>
        <v/>
      </c>
      <c r="I381">
        <f>IF(OR(A381="",F381=""),"",IF(H381&lt;=0.004,"Paid",IF(AND(E381&lt;&gt;"",TODAY()&gt;E381),"Overdue",IF(G381&gt;0,"Partial","Open"))))</f>
        <v/>
      </c>
      <c r="J381">
        <f>IF(I381="Overdue",TODAY()-E381,"")</f>
        <v/>
      </c>
    </row>
    <row r="382">
      <c r="A382" s="16" t="n"/>
      <c r="B382" s="16" t="n"/>
      <c r="C382" s="15" t="n"/>
      <c r="D382" s="16" t="n"/>
      <c r="E382" s="20">
        <f>IF(OR(C382="",D382=""),"",C382+D382)</f>
        <v/>
      </c>
      <c r="F382" s="18" t="n"/>
      <c r="G382" s="6">
        <f>IF(A382="","",SUMIFS(Income!$E$5:$E$504,Income!$C$5:$C$504,A382))</f>
        <v/>
      </c>
      <c r="H382" s="6">
        <f>IF(OR(A382="",F382=""),"",F382-G382)</f>
        <v/>
      </c>
      <c r="I382">
        <f>IF(OR(A382="",F382=""),"",IF(H382&lt;=0.004,"Paid",IF(AND(E382&lt;&gt;"",TODAY()&gt;E382),"Overdue",IF(G382&gt;0,"Partial","Open"))))</f>
        <v/>
      </c>
      <c r="J382">
        <f>IF(I382="Overdue",TODAY()-E382,"")</f>
        <v/>
      </c>
    </row>
    <row r="383">
      <c r="A383" s="16" t="n"/>
      <c r="B383" s="16" t="n"/>
      <c r="C383" s="15" t="n"/>
      <c r="D383" s="16" t="n"/>
      <c r="E383" s="20">
        <f>IF(OR(C383="",D383=""),"",C383+D383)</f>
        <v/>
      </c>
      <c r="F383" s="18" t="n"/>
      <c r="G383" s="6">
        <f>IF(A383="","",SUMIFS(Income!$E$5:$E$504,Income!$C$5:$C$504,A383))</f>
        <v/>
      </c>
      <c r="H383" s="6">
        <f>IF(OR(A383="",F383=""),"",F383-G383)</f>
        <v/>
      </c>
      <c r="I383">
        <f>IF(OR(A383="",F383=""),"",IF(H383&lt;=0.004,"Paid",IF(AND(E383&lt;&gt;"",TODAY()&gt;E383),"Overdue",IF(G383&gt;0,"Partial","Open"))))</f>
        <v/>
      </c>
      <c r="J383">
        <f>IF(I383="Overdue",TODAY()-E383,"")</f>
        <v/>
      </c>
    </row>
    <row r="384">
      <c r="A384" s="16" t="n"/>
      <c r="B384" s="16" t="n"/>
      <c r="C384" s="15" t="n"/>
      <c r="D384" s="16" t="n"/>
      <c r="E384" s="20">
        <f>IF(OR(C384="",D384=""),"",C384+D384)</f>
        <v/>
      </c>
      <c r="F384" s="18" t="n"/>
      <c r="G384" s="6">
        <f>IF(A384="","",SUMIFS(Income!$E$5:$E$504,Income!$C$5:$C$504,A384))</f>
        <v/>
      </c>
      <c r="H384" s="6">
        <f>IF(OR(A384="",F384=""),"",F384-G384)</f>
        <v/>
      </c>
      <c r="I384">
        <f>IF(OR(A384="",F384=""),"",IF(H384&lt;=0.004,"Paid",IF(AND(E384&lt;&gt;"",TODAY()&gt;E384),"Overdue",IF(G384&gt;0,"Partial","Open"))))</f>
        <v/>
      </c>
      <c r="J384">
        <f>IF(I384="Overdue",TODAY()-E384,"")</f>
        <v/>
      </c>
    </row>
    <row r="385">
      <c r="A385" s="16" t="n"/>
      <c r="B385" s="16" t="n"/>
      <c r="C385" s="15" t="n"/>
      <c r="D385" s="16" t="n"/>
      <c r="E385" s="20">
        <f>IF(OR(C385="",D385=""),"",C385+D385)</f>
        <v/>
      </c>
      <c r="F385" s="18" t="n"/>
      <c r="G385" s="6">
        <f>IF(A385="","",SUMIFS(Income!$E$5:$E$504,Income!$C$5:$C$504,A385))</f>
        <v/>
      </c>
      <c r="H385" s="6">
        <f>IF(OR(A385="",F385=""),"",F385-G385)</f>
        <v/>
      </c>
      <c r="I385">
        <f>IF(OR(A385="",F385=""),"",IF(H385&lt;=0.004,"Paid",IF(AND(E385&lt;&gt;"",TODAY()&gt;E385),"Overdue",IF(G385&gt;0,"Partial","Open"))))</f>
        <v/>
      </c>
      <c r="J385">
        <f>IF(I385="Overdue",TODAY()-E385,"")</f>
        <v/>
      </c>
    </row>
    <row r="386">
      <c r="A386" s="16" t="n"/>
      <c r="B386" s="16" t="n"/>
      <c r="C386" s="15" t="n"/>
      <c r="D386" s="16" t="n"/>
      <c r="E386" s="20">
        <f>IF(OR(C386="",D386=""),"",C386+D386)</f>
        <v/>
      </c>
      <c r="F386" s="18" t="n"/>
      <c r="G386" s="6">
        <f>IF(A386="","",SUMIFS(Income!$E$5:$E$504,Income!$C$5:$C$504,A386))</f>
        <v/>
      </c>
      <c r="H386" s="6">
        <f>IF(OR(A386="",F386=""),"",F386-G386)</f>
        <v/>
      </c>
      <c r="I386">
        <f>IF(OR(A386="",F386=""),"",IF(H386&lt;=0.004,"Paid",IF(AND(E386&lt;&gt;"",TODAY()&gt;E386),"Overdue",IF(G386&gt;0,"Partial","Open"))))</f>
        <v/>
      </c>
      <c r="J386">
        <f>IF(I386="Overdue",TODAY()-E386,"")</f>
        <v/>
      </c>
    </row>
    <row r="387">
      <c r="A387" s="16" t="n"/>
      <c r="B387" s="16" t="n"/>
      <c r="C387" s="15" t="n"/>
      <c r="D387" s="16" t="n"/>
      <c r="E387" s="20">
        <f>IF(OR(C387="",D387=""),"",C387+D387)</f>
        <v/>
      </c>
      <c r="F387" s="18" t="n"/>
      <c r="G387" s="6">
        <f>IF(A387="","",SUMIFS(Income!$E$5:$E$504,Income!$C$5:$C$504,A387))</f>
        <v/>
      </c>
      <c r="H387" s="6">
        <f>IF(OR(A387="",F387=""),"",F387-G387)</f>
        <v/>
      </c>
      <c r="I387">
        <f>IF(OR(A387="",F387=""),"",IF(H387&lt;=0.004,"Paid",IF(AND(E387&lt;&gt;"",TODAY()&gt;E387),"Overdue",IF(G387&gt;0,"Partial","Open"))))</f>
        <v/>
      </c>
      <c r="J387">
        <f>IF(I387="Overdue",TODAY()-E387,"")</f>
        <v/>
      </c>
    </row>
    <row r="388">
      <c r="A388" s="16" t="n"/>
      <c r="B388" s="16" t="n"/>
      <c r="C388" s="15" t="n"/>
      <c r="D388" s="16" t="n"/>
      <c r="E388" s="20">
        <f>IF(OR(C388="",D388=""),"",C388+D388)</f>
        <v/>
      </c>
      <c r="F388" s="18" t="n"/>
      <c r="G388" s="6">
        <f>IF(A388="","",SUMIFS(Income!$E$5:$E$504,Income!$C$5:$C$504,A388))</f>
        <v/>
      </c>
      <c r="H388" s="6">
        <f>IF(OR(A388="",F388=""),"",F388-G388)</f>
        <v/>
      </c>
      <c r="I388">
        <f>IF(OR(A388="",F388=""),"",IF(H388&lt;=0.004,"Paid",IF(AND(E388&lt;&gt;"",TODAY()&gt;E388),"Overdue",IF(G388&gt;0,"Partial","Open"))))</f>
        <v/>
      </c>
      <c r="J388">
        <f>IF(I388="Overdue",TODAY()-E388,"")</f>
        <v/>
      </c>
    </row>
    <row r="389">
      <c r="A389" s="16" t="n"/>
      <c r="B389" s="16" t="n"/>
      <c r="C389" s="15" t="n"/>
      <c r="D389" s="16" t="n"/>
      <c r="E389" s="20">
        <f>IF(OR(C389="",D389=""),"",C389+D389)</f>
        <v/>
      </c>
      <c r="F389" s="18" t="n"/>
      <c r="G389" s="6">
        <f>IF(A389="","",SUMIFS(Income!$E$5:$E$504,Income!$C$5:$C$504,A389))</f>
        <v/>
      </c>
      <c r="H389" s="6">
        <f>IF(OR(A389="",F389=""),"",F389-G389)</f>
        <v/>
      </c>
      <c r="I389">
        <f>IF(OR(A389="",F389=""),"",IF(H389&lt;=0.004,"Paid",IF(AND(E389&lt;&gt;"",TODAY()&gt;E389),"Overdue",IF(G389&gt;0,"Partial","Open"))))</f>
        <v/>
      </c>
      <c r="J389">
        <f>IF(I389="Overdue",TODAY()-E389,"")</f>
        <v/>
      </c>
    </row>
    <row r="390">
      <c r="A390" s="16" t="n"/>
      <c r="B390" s="16" t="n"/>
      <c r="C390" s="15" t="n"/>
      <c r="D390" s="16" t="n"/>
      <c r="E390" s="20">
        <f>IF(OR(C390="",D390=""),"",C390+D390)</f>
        <v/>
      </c>
      <c r="F390" s="18" t="n"/>
      <c r="G390" s="6">
        <f>IF(A390="","",SUMIFS(Income!$E$5:$E$504,Income!$C$5:$C$504,A390))</f>
        <v/>
      </c>
      <c r="H390" s="6">
        <f>IF(OR(A390="",F390=""),"",F390-G390)</f>
        <v/>
      </c>
      <c r="I390">
        <f>IF(OR(A390="",F390=""),"",IF(H390&lt;=0.004,"Paid",IF(AND(E390&lt;&gt;"",TODAY()&gt;E390),"Overdue",IF(G390&gt;0,"Partial","Open"))))</f>
        <v/>
      </c>
      <c r="J390">
        <f>IF(I390="Overdue",TODAY()-E390,"")</f>
        <v/>
      </c>
    </row>
    <row r="391">
      <c r="A391" s="16" t="n"/>
      <c r="B391" s="16" t="n"/>
      <c r="C391" s="15" t="n"/>
      <c r="D391" s="16" t="n"/>
      <c r="E391" s="20">
        <f>IF(OR(C391="",D391=""),"",C391+D391)</f>
        <v/>
      </c>
      <c r="F391" s="18" t="n"/>
      <c r="G391" s="6">
        <f>IF(A391="","",SUMIFS(Income!$E$5:$E$504,Income!$C$5:$C$504,A391))</f>
        <v/>
      </c>
      <c r="H391" s="6">
        <f>IF(OR(A391="",F391=""),"",F391-G391)</f>
        <v/>
      </c>
      <c r="I391">
        <f>IF(OR(A391="",F391=""),"",IF(H391&lt;=0.004,"Paid",IF(AND(E391&lt;&gt;"",TODAY()&gt;E391),"Overdue",IF(G391&gt;0,"Partial","Open"))))</f>
        <v/>
      </c>
      <c r="J391">
        <f>IF(I391="Overdue",TODAY()-E391,"")</f>
        <v/>
      </c>
    </row>
    <row r="392">
      <c r="A392" s="16" t="n"/>
      <c r="B392" s="16" t="n"/>
      <c r="C392" s="15" t="n"/>
      <c r="D392" s="16" t="n"/>
      <c r="E392" s="20">
        <f>IF(OR(C392="",D392=""),"",C392+D392)</f>
        <v/>
      </c>
      <c r="F392" s="18" t="n"/>
      <c r="G392" s="6">
        <f>IF(A392="","",SUMIFS(Income!$E$5:$E$504,Income!$C$5:$C$504,A392))</f>
        <v/>
      </c>
      <c r="H392" s="6">
        <f>IF(OR(A392="",F392=""),"",F392-G392)</f>
        <v/>
      </c>
      <c r="I392">
        <f>IF(OR(A392="",F392=""),"",IF(H392&lt;=0.004,"Paid",IF(AND(E392&lt;&gt;"",TODAY()&gt;E392),"Overdue",IF(G392&gt;0,"Partial","Open"))))</f>
        <v/>
      </c>
      <c r="J392">
        <f>IF(I392="Overdue",TODAY()-E392,"")</f>
        <v/>
      </c>
    </row>
    <row r="393">
      <c r="A393" s="16" t="n"/>
      <c r="B393" s="16" t="n"/>
      <c r="C393" s="15" t="n"/>
      <c r="D393" s="16" t="n"/>
      <c r="E393" s="20">
        <f>IF(OR(C393="",D393=""),"",C393+D393)</f>
        <v/>
      </c>
      <c r="F393" s="18" t="n"/>
      <c r="G393" s="6">
        <f>IF(A393="","",SUMIFS(Income!$E$5:$E$504,Income!$C$5:$C$504,A393))</f>
        <v/>
      </c>
      <c r="H393" s="6">
        <f>IF(OR(A393="",F393=""),"",F393-G393)</f>
        <v/>
      </c>
      <c r="I393">
        <f>IF(OR(A393="",F393=""),"",IF(H393&lt;=0.004,"Paid",IF(AND(E393&lt;&gt;"",TODAY()&gt;E393),"Overdue",IF(G393&gt;0,"Partial","Open"))))</f>
        <v/>
      </c>
      <c r="J393">
        <f>IF(I393="Overdue",TODAY()-E393,"")</f>
        <v/>
      </c>
    </row>
    <row r="394">
      <c r="A394" s="16" t="n"/>
      <c r="B394" s="16" t="n"/>
      <c r="C394" s="15" t="n"/>
      <c r="D394" s="16" t="n"/>
      <c r="E394" s="20">
        <f>IF(OR(C394="",D394=""),"",C394+D394)</f>
        <v/>
      </c>
      <c r="F394" s="18" t="n"/>
      <c r="G394" s="6">
        <f>IF(A394="","",SUMIFS(Income!$E$5:$E$504,Income!$C$5:$C$504,A394))</f>
        <v/>
      </c>
      <c r="H394" s="6">
        <f>IF(OR(A394="",F394=""),"",F394-G394)</f>
        <v/>
      </c>
      <c r="I394">
        <f>IF(OR(A394="",F394=""),"",IF(H394&lt;=0.004,"Paid",IF(AND(E394&lt;&gt;"",TODAY()&gt;E394),"Overdue",IF(G394&gt;0,"Partial","Open"))))</f>
        <v/>
      </c>
      <c r="J394">
        <f>IF(I394="Overdue",TODAY()-E394,"")</f>
        <v/>
      </c>
    </row>
    <row r="395">
      <c r="A395" s="16" t="n"/>
      <c r="B395" s="16" t="n"/>
      <c r="C395" s="15" t="n"/>
      <c r="D395" s="16" t="n"/>
      <c r="E395" s="20">
        <f>IF(OR(C395="",D395=""),"",C395+D395)</f>
        <v/>
      </c>
      <c r="F395" s="18" t="n"/>
      <c r="G395" s="6">
        <f>IF(A395="","",SUMIFS(Income!$E$5:$E$504,Income!$C$5:$C$504,A395))</f>
        <v/>
      </c>
      <c r="H395" s="6">
        <f>IF(OR(A395="",F395=""),"",F395-G395)</f>
        <v/>
      </c>
      <c r="I395">
        <f>IF(OR(A395="",F395=""),"",IF(H395&lt;=0.004,"Paid",IF(AND(E395&lt;&gt;"",TODAY()&gt;E395),"Overdue",IF(G395&gt;0,"Partial","Open"))))</f>
        <v/>
      </c>
      <c r="J395">
        <f>IF(I395="Overdue",TODAY()-E395,"")</f>
        <v/>
      </c>
    </row>
    <row r="396">
      <c r="A396" s="16" t="n"/>
      <c r="B396" s="16" t="n"/>
      <c r="C396" s="15" t="n"/>
      <c r="D396" s="16" t="n"/>
      <c r="E396" s="20">
        <f>IF(OR(C396="",D396=""),"",C396+D396)</f>
        <v/>
      </c>
      <c r="F396" s="18" t="n"/>
      <c r="G396" s="6">
        <f>IF(A396="","",SUMIFS(Income!$E$5:$E$504,Income!$C$5:$C$504,A396))</f>
        <v/>
      </c>
      <c r="H396" s="6">
        <f>IF(OR(A396="",F396=""),"",F396-G396)</f>
        <v/>
      </c>
      <c r="I396">
        <f>IF(OR(A396="",F396=""),"",IF(H396&lt;=0.004,"Paid",IF(AND(E396&lt;&gt;"",TODAY()&gt;E396),"Overdue",IF(G396&gt;0,"Partial","Open"))))</f>
        <v/>
      </c>
      <c r="J396">
        <f>IF(I396="Overdue",TODAY()-E396,"")</f>
        <v/>
      </c>
    </row>
    <row r="397">
      <c r="A397" s="16" t="n"/>
      <c r="B397" s="16" t="n"/>
      <c r="C397" s="15" t="n"/>
      <c r="D397" s="16" t="n"/>
      <c r="E397" s="20">
        <f>IF(OR(C397="",D397=""),"",C397+D397)</f>
        <v/>
      </c>
      <c r="F397" s="18" t="n"/>
      <c r="G397" s="6">
        <f>IF(A397="","",SUMIFS(Income!$E$5:$E$504,Income!$C$5:$C$504,A397))</f>
        <v/>
      </c>
      <c r="H397" s="6">
        <f>IF(OR(A397="",F397=""),"",F397-G397)</f>
        <v/>
      </c>
      <c r="I397">
        <f>IF(OR(A397="",F397=""),"",IF(H397&lt;=0.004,"Paid",IF(AND(E397&lt;&gt;"",TODAY()&gt;E397),"Overdue",IF(G397&gt;0,"Partial","Open"))))</f>
        <v/>
      </c>
      <c r="J397">
        <f>IF(I397="Overdue",TODAY()-E397,"")</f>
        <v/>
      </c>
    </row>
    <row r="398">
      <c r="A398" s="16" t="n"/>
      <c r="B398" s="16" t="n"/>
      <c r="C398" s="15" t="n"/>
      <c r="D398" s="16" t="n"/>
      <c r="E398" s="20">
        <f>IF(OR(C398="",D398=""),"",C398+D398)</f>
        <v/>
      </c>
      <c r="F398" s="18" t="n"/>
      <c r="G398" s="6">
        <f>IF(A398="","",SUMIFS(Income!$E$5:$E$504,Income!$C$5:$C$504,A398))</f>
        <v/>
      </c>
      <c r="H398" s="6">
        <f>IF(OR(A398="",F398=""),"",F398-G398)</f>
        <v/>
      </c>
      <c r="I398">
        <f>IF(OR(A398="",F398=""),"",IF(H398&lt;=0.004,"Paid",IF(AND(E398&lt;&gt;"",TODAY()&gt;E398),"Overdue",IF(G398&gt;0,"Partial","Open"))))</f>
        <v/>
      </c>
      <c r="J398">
        <f>IF(I398="Overdue",TODAY()-E398,"")</f>
        <v/>
      </c>
    </row>
    <row r="399">
      <c r="A399" s="16" t="n"/>
      <c r="B399" s="16" t="n"/>
      <c r="C399" s="15" t="n"/>
      <c r="D399" s="16" t="n"/>
      <c r="E399" s="20">
        <f>IF(OR(C399="",D399=""),"",C399+D399)</f>
        <v/>
      </c>
      <c r="F399" s="18" t="n"/>
      <c r="G399" s="6">
        <f>IF(A399="","",SUMIFS(Income!$E$5:$E$504,Income!$C$5:$C$504,A399))</f>
        <v/>
      </c>
      <c r="H399" s="6">
        <f>IF(OR(A399="",F399=""),"",F399-G399)</f>
        <v/>
      </c>
      <c r="I399">
        <f>IF(OR(A399="",F399=""),"",IF(H399&lt;=0.004,"Paid",IF(AND(E399&lt;&gt;"",TODAY()&gt;E399),"Overdue",IF(G399&gt;0,"Partial","Open"))))</f>
        <v/>
      </c>
      <c r="J399">
        <f>IF(I399="Overdue",TODAY()-E399,"")</f>
        <v/>
      </c>
    </row>
    <row r="400">
      <c r="A400" s="16" t="n"/>
      <c r="B400" s="16" t="n"/>
      <c r="C400" s="15" t="n"/>
      <c r="D400" s="16" t="n"/>
      <c r="E400" s="20">
        <f>IF(OR(C400="",D400=""),"",C400+D400)</f>
        <v/>
      </c>
      <c r="F400" s="18" t="n"/>
      <c r="G400" s="6">
        <f>IF(A400="","",SUMIFS(Income!$E$5:$E$504,Income!$C$5:$C$504,A400))</f>
        <v/>
      </c>
      <c r="H400" s="6">
        <f>IF(OR(A400="",F400=""),"",F400-G400)</f>
        <v/>
      </c>
      <c r="I400">
        <f>IF(OR(A400="",F400=""),"",IF(H400&lt;=0.004,"Paid",IF(AND(E400&lt;&gt;"",TODAY()&gt;E400),"Overdue",IF(G400&gt;0,"Partial","Open"))))</f>
        <v/>
      </c>
      <c r="J400">
        <f>IF(I400="Overdue",TODAY()-E400,"")</f>
        <v/>
      </c>
    </row>
    <row r="401">
      <c r="A401" s="16" t="n"/>
      <c r="B401" s="16" t="n"/>
      <c r="C401" s="15" t="n"/>
      <c r="D401" s="16" t="n"/>
      <c r="E401" s="20">
        <f>IF(OR(C401="",D401=""),"",C401+D401)</f>
        <v/>
      </c>
      <c r="F401" s="18" t="n"/>
      <c r="G401" s="6">
        <f>IF(A401="","",SUMIFS(Income!$E$5:$E$504,Income!$C$5:$C$504,A401))</f>
        <v/>
      </c>
      <c r="H401" s="6">
        <f>IF(OR(A401="",F401=""),"",F401-G401)</f>
        <v/>
      </c>
      <c r="I401">
        <f>IF(OR(A401="",F401=""),"",IF(H401&lt;=0.004,"Paid",IF(AND(E401&lt;&gt;"",TODAY()&gt;E401),"Overdue",IF(G401&gt;0,"Partial","Open"))))</f>
        <v/>
      </c>
      <c r="J401">
        <f>IF(I401="Overdue",TODAY()-E401,"")</f>
        <v/>
      </c>
    </row>
    <row r="402">
      <c r="A402" s="16" t="n"/>
      <c r="B402" s="16" t="n"/>
      <c r="C402" s="15" t="n"/>
      <c r="D402" s="16" t="n"/>
      <c r="E402" s="20">
        <f>IF(OR(C402="",D402=""),"",C402+D402)</f>
        <v/>
      </c>
      <c r="F402" s="18" t="n"/>
      <c r="G402" s="6">
        <f>IF(A402="","",SUMIFS(Income!$E$5:$E$504,Income!$C$5:$C$504,A402))</f>
        <v/>
      </c>
      <c r="H402" s="6">
        <f>IF(OR(A402="",F402=""),"",F402-G402)</f>
        <v/>
      </c>
      <c r="I402">
        <f>IF(OR(A402="",F402=""),"",IF(H402&lt;=0.004,"Paid",IF(AND(E402&lt;&gt;"",TODAY()&gt;E402),"Overdue",IF(G402&gt;0,"Partial","Open"))))</f>
        <v/>
      </c>
      <c r="J402">
        <f>IF(I402="Overdue",TODAY()-E402,"")</f>
        <v/>
      </c>
    </row>
    <row r="403">
      <c r="A403" s="16" t="n"/>
      <c r="B403" s="16" t="n"/>
      <c r="C403" s="15" t="n"/>
      <c r="D403" s="16" t="n"/>
      <c r="E403" s="20">
        <f>IF(OR(C403="",D403=""),"",C403+D403)</f>
        <v/>
      </c>
      <c r="F403" s="18" t="n"/>
      <c r="G403" s="6">
        <f>IF(A403="","",SUMIFS(Income!$E$5:$E$504,Income!$C$5:$C$504,A403))</f>
        <v/>
      </c>
      <c r="H403" s="6">
        <f>IF(OR(A403="",F403=""),"",F403-G403)</f>
        <v/>
      </c>
      <c r="I403">
        <f>IF(OR(A403="",F403=""),"",IF(H403&lt;=0.004,"Paid",IF(AND(E403&lt;&gt;"",TODAY()&gt;E403),"Overdue",IF(G403&gt;0,"Partial","Open"))))</f>
        <v/>
      </c>
      <c r="J403">
        <f>IF(I403="Overdue",TODAY()-E403,"")</f>
        <v/>
      </c>
    </row>
    <row r="404">
      <c r="A404" s="16" t="n"/>
      <c r="B404" s="16" t="n"/>
      <c r="C404" s="15" t="n"/>
      <c r="D404" s="16" t="n"/>
      <c r="E404" s="20">
        <f>IF(OR(C404="",D404=""),"",C404+D404)</f>
        <v/>
      </c>
      <c r="F404" s="18" t="n"/>
      <c r="G404" s="6">
        <f>IF(A404="","",SUMIFS(Income!$E$5:$E$504,Income!$C$5:$C$504,A404))</f>
        <v/>
      </c>
      <c r="H404" s="6">
        <f>IF(OR(A404="",F404=""),"",F404-G404)</f>
        <v/>
      </c>
      <c r="I404">
        <f>IF(OR(A404="",F404=""),"",IF(H404&lt;=0.004,"Paid",IF(AND(E404&lt;&gt;"",TODAY()&gt;E404),"Overdue",IF(G404&gt;0,"Partial","Open"))))</f>
        <v/>
      </c>
      <c r="J404">
        <f>IF(I404="Overdue",TODAY()-E404,"")</f>
        <v/>
      </c>
    </row>
    <row r="405">
      <c r="A405" s="16" t="n"/>
      <c r="B405" s="16" t="n"/>
      <c r="C405" s="15" t="n"/>
      <c r="D405" s="16" t="n"/>
      <c r="E405" s="20">
        <f>IF(OR(C405="",D405=""),"",C405+D405)</f>
        <v/>
      </c>
      <c r="F405" s="18" t="n"/>
      <c r="G405" s="6">
        <f>IF(A405="","",SUMIFS(Income!$E$5:$E$504,Income!$C$5:$C$504,A405))</f>
        <v/>
      </c>
      <c r="H405" s="6">
        <f>IF(OR(A405="",F405=""),"",F405-G405)</f>
        <v/>
      </c>
      <c r="I405">
        <f>IF(OR(A405="",F405=""),"",IF(H405&lt;=0.004,"Paid",IF(AND(E405&lt;&gt;"",TODAY()&gt;E405),"Overdue",IF(G405&gt;0,"Partial","Open"))))</f>
        <v/>
      </c>
      <c r="J405">
        <f>IF(I405="Overdue",TODAY()-E405,"")</f>
        <v/>
      </c>
    </row>
    <row r="406">
      <c r="A406" s="16" t="n"/>
      <c r="B406" s="16" t="n"/>
      <c r="C406" s="15" t="n"/>
      <c r="D406" s="16" t="n"/>
      <c r="E406" s="20">
        <f>IF(OR(C406="",D406=""),"",C406+D406)</f>
        <v/>
      </c>
      <c r="F406" s="18" t="n"/>
      <c r="G406" s="6">
        <f>IF(A406="","",SUMIFS(Income!$E$5:$E$504,Income!$C$5:$C$504,A406))</f>
        <v/>
      </c>
      <c r="H406" s="6">
        <f>IF(OR(A406="",F406=""),"",F406-G406)</f>
        <v/>
      </c>
      <c r="I406">
        <f>IF(OR(A406="",F406=""),"",IF(H406&lt;=0.004,"Paid",IF(AND(E406&lt;&gt;"",TODAY()&gt;E406),"Overdue",IF(G406&gt;0,"Partial","Open"))))</f>
        <v/>
      </c>
      <c r="J406">
        <f>IF(I406="Overdue",TODAY()-E406,"")</f>
        <v/>
      </c>
    </row>
    <row r="407">
      <c r="A407" s="16" t="n"/>
      <c r="B407" s="16" t="n"/>
      <c r="C407" s="15" t="n"/>
      <c r="D407" s="16" t="n"/>
      <c r="E407" s="20">
        <f>IF(OR(C407="",D407=""),"",C407+D407)</f>
        <v/>
      </c>
      <c r="F407" s="18" t="n"/>
      <c r="G407" s="6">
        <f>IF(A407="","",SUMIFS(Income!$E$5:$E$504,Income!$C$5:$C$504,A407))</f>
        <v/>
      </c>
      <c r="H407" s="6">
        <f>IF(OR(A407="",F407=""),"",F407-G407)</f>
        <v/>
      </c>
      <c r="I407">
        <f>IF(OR(A407="",F407=""),"",IF(H407&lt;=0.004,"Paid",IF(AND(E407&lt;&gt;"",TODAY()&gt;E407),"Overdue",IF(G407&gt;0,"Partial","Open"))))</f>
        <v/>
      </c>
      <c r="J407">
        <f>IF(I407="Overdue",TODAY()-E407,"")</f>
        <v/>
      </c>
    </row>
    <row r="408">
      <c r="A408" s="16" t="n"/>
      <c r="B408" s="16" t="n"/>
      <c r="C408" s="15" t="n"/>
      <c r="D408" s="16" t="n"/>
      <c r="E408" s="20">
        <f>IF(OR(C408="",D408=""),"",C408+D408)</f>
        <v/>
      </c>
      <c r="F408" s="18" t="n"/>
      <c r="G408" s="6">
        <f>IF(A408="","",SUMIFS(Income!$E$5:$E$504,Income!$C$5:$C$504,A408))</f>
        <v/>
      </c>
      <c r="H408" s="6">
        <f>IF(OR(A408="",F408=""),"",F408-G408)</f>
        <v/>
      </c>
      <c r="I408">
        <f>IF(OR(A408="",F408=""),"",IF(H408&lt;=0.004,"Paid",IF(AND(E408&lt;&gt;"",TODAY()&gt;E408),"Overdue",IF(G408&gt;0,"Partial","Open"))))</f>
        <v/>
      </c>
      <c r="J408">
        <f>IF(I408="Overdue",TODAY()-E408,"")</f>
        <v/>
      </c>
    </row>
    <row r="409">
      <c r="A409" s="16" t="n"/>
      <c r="B409" s="16" t="n"/>
      <c r="C409" s="15" t="n"/>
      <c r="D409" s="16" t="n"/>
      <c r="E409" s="20">
        <f>IF(OR(C409="",D409=""),"",C409+D409)</f>
        <v/>
      </c>
      <c r="F409" s="18" t="n"/>
      <c r="G409" s="6">
        <f>IF(A409="","",SUMIFS(Income!$E$5:$E$504,Income!$C$5:$C$504,A409))</f>
        <v/>
      </c>
      <c r="H409" s="6">
        <f>IF(OR(A409="",F409=""),"",F409-G409)</f>
        <v/>
      </c>
      <c r="I409">
        <f>IF(OR(A409="",F409=""),"",IF(H409&lt;=0.004,"Paid",IF(AND(E409&lt;&gt;"",TODAY()&gt;E409),"Overdue",IF(G409&gt;0,"Partial","Open"))))</f>
        <v/>
      </c>
      <c r="J409">
        <f>IF(I409="Overdue",TODAY()-E409,"")</f>
        <v/>
      </c>
    </row>
    <row r="410">
      <c r="A410" s="16" t="n"/>
      <c r="B410" s="16" t="n"/>
      <c r="C410" s="15" t="n"/>
      <c r="D410" s="16" t="n"/>
      <c r="E410" s="20">
        <f>IF(OR(C410="",D410=""),"",C410+D410)</f>
        <v/>
      </c>
      <c r="F410" s="18" t="n"/>
      <c r="G410" s="6">
        <f>IF(A410="","",SUMIFS(Income!$E$5:$E$504,Income!$C$5:$C$504,A410))</f>
        <v/>
      </c>
      <c r="H410" s="6">
        <f>IF(OR(A410="",F410=""),"",F410-G410)</f>
        <v/>
      </c>
      <c r="I410">
        <f>IF(OR(A410="",F410=""),"",IF(H410&lt;=0.004,"Paid",IF(AND(E410&lt;&gt;"",TODAY()&gt;E410),"Overdue",IF(G410&gt;0,"Partial","Open"))))</f>
        <v/>
      </c>
      <c r="J410">
        <f>IF(I410="Overdue",TODAY()-E410,"")</f>
        <v/>
      </c>
    </row>
    <row r="411">
      <c r="A411" s="16" t="n"/>
      <c r="B411" s="16" t="n"/>
      <c r="C411" s="15" t="n"/>
      <c r="D411" s="16" t="n"/>
      <c r="E411" s="20">
        <f>IF(OR(C411="",D411=""),"",C411+D411)</f>
        <v/>
      </c>
      <c r="F411" s="18" t="n"/>
      <c r="G411" s="6">
        <f>IF(A411="","",SUMIFS(Income!$E$5:$E$504,Income!$C$5:$C$504,A411))</f>
        <v/>
      </c>
      <c r="H411" s="6">
        <f>IF(OR(A411="",F411=""),"",F411-G411)</f>
        <v/>
      </c>
      <c r="I411">
        <f>IF(OR(A411="",F411=""),"",IF(H411&lt;=0.004,"Paid",IF(AND(E411&lt;&gt;"",TODAY()&gt;E411),"Overdue",IF(G411&gt;0,"Partial","Open"))))</f>
        <v/>
      </c>
      <c r="J411">
        <f>IF(I411="Overdue",TODAY()-E411,"")</f>
        <v/>
      </c>
    </row>
    <row r="412">
      <c r="A412" s="16" t="n"/>
      <c r="B412" s="16" t="n"/>
      <c r="C412" s="15" t="n"/>
      <c r="D412" s="16" t="n"/>
      <c r="E412" s="20">
        <f>IF(OR(C412="",D412=""),"",C412+D412)</f>
        <v/>
      </c>
      <c r="F412" s="18" t="n"/>
      <c r="G412" s="6">
        <f>IF(A412="","",SUMIFS(Income!$E$5:$E$504,Income!$C$5:$C$504,A412))</f>
        <v/>
      </c>
      <c r="H412" s="6">
        <f>IF(OR(A412="",F412=""),"",F412-G412)</f>
        <v/>
      </c>
      <c r="I412">
        <f>IF(OR(A412="",F412=""),"",IF(H412&lt;=0.004,"Paid",IF(AND(E412&lt;&gt;"",TODAY()&gt;E412),"Overdue",IF(G412&gt;0,"Partial","Open"))))</f>
        <v/>
      </c>
      <c r="J412">
        <f>IF(I412="Overdue",TODAY()-E412,"")</f>
        <v/>
      </c>
    </row>
    <row r="413">
      <c r="A413" s="16" t="n"/>
      <c r="B413" s="16" t="n"/>
      <c r="C413" s="15" t="n"/>
      <c r="D413" s="16" t="n"/>
      <c r="E413" s="20">
        <f>IF(OR(C413="",D413=""),"",C413+D413)</f>
        <v/>
      </c>
      <c r="F413" s="18" t="n"/>
      <c r="G413" s="6">
        <f>IF(A413="","",SUMIFS(Income!$E$5:$E$504,Income!$C$5:$C$504,A413))</f>
        <v/>
      </c>
      <c r="H413" s="6">
        <f>IF(OR(A413="",F413=""),"",F413-G413)</f>
        <v/>
      </c>
      <c r="I413">
        <f>IF(OR(A413="",F413=""),"",IF(H413&lt;=0.004,"Paid",IF(AND(E413&lt;&gt;"",TODAY()&gt;E413),"Overdue",IF(G413&gt;0,"Partial","Open"))))</f>
        <v/>
      </c>
      <c r="J413">
        <f>IF(I413="Overdue",TODAY()-E413,"")</f>
        <v/>
      </c>
    </row>
    <row r="414">
      <c r="A414" s="16" t="n"/>
      <c r="B414" s="16" t="n"/>
      <c r="C414" s="15" t="n"/>
      <c r="D414" s="16" t="n"/>
      <c r="E414" s="20">
        <f>IF(OR(C414="",D414=""),"",C414+D414)</f>
        <v/>
      </c>
      <c r="F414" s="18" t="n"/>
      <c r="G414" s="6">
        <f>IF(A414="","",SUMIFS(Income!$E$5:$E$504,Income!$C$5:$C$504,A414))</f>
        <v/>
      </c>
      <c r="H414" s="6">
        <f>IF(OR(A414="",F414=""),"",F414-G414)</f>
        <v/>
      </c>
      <c r="I414">
        <f>IF(OR(A414="",F414=""),"",IF(H414&lt;=0.004,"Paid",IF(AND(E414&lt;&gt;"",TODAY()&gt;E414),"Overdue",IF(G414&gt;0,"Partial","Open"))))</f>
        <v/>
      </c>
      <c r="J414">
        <f>IF(I414="Overdue",TODAY()-E414,"")</f>
        <v/>
      </c>
    </row>
    <row r="415">
      <c r="A415" s="16" t="n"/>
      <c r="B415" s="16" t="n"/>
      <c r="C415" s="15" t="n"/>
      <c r="D415" s="16" t="n"/>
      <c r="E415" s="20">
        <f>IF(OR(C415="",D415=""),"",C415+D415)</f>
        <v/>
      </c>
      <c r="F415" s="18" t="n"/>
      <c r="G415" s="6">
        <f>IF(A415="","",SUMIFS(Income!$E$5:$E$504,Income!$C$5:$C$504,A415))</f>
        <v/>
      </c>
      <c r="H415" s="6">
        <f>IF(OR(A415="",F415=""),"",F415-G415)</f>
        <v/>
      </c>
      <c r="I415">
        <f>IF(OR(A415="",F415=""),"",IF(H415&lt;=0.004,"Paid",IF(AND(E415&lt;&gt;"",TODAY()&gt;E415),"Overdue",IF(G415&gt;0,"Partial","Open"))))</f>
        <v/>
      </c>
      <c r="J415">
        <f>IF(I415="Overdue",TODAY()-E415,"")</f>
        <v/>
      </c>
    </row>
    <row r="416">
      <c r="A416" s="16" t="n"/>
      <c r="B416" s="16" t="n"/>
      <c r="C416" s="15" t="n"/>
      <c r="D416" s="16" t="n"/>
      <c r="E416" s="20">
        <f>IF(OR(C416="",D416=""),"",C416+D416)</f>
        <v/>
      </c>
      <c r="F416" s="18" t="n"/>
      <c r="G416" s="6">
        <f>IF(A416="","",SUMIFS(Income!$E$5:$E$504,Income!$C$5:$C$504,A416))</f>
        <v/>
      </c>
      <c r="H416" s="6">
        <f>IF(OR(A416="",F416=""),"",F416-G416)</f>
        <v/>
      </c>
      <c r="I416">
        <f>IF(OR(A416="",F416=""),"",IF(H416&lt;=0.004,"Paid",IF(AND(E416&lt;&gt;"",TODAY()&gt;E416),"Overdue",IF(G416&gt;0,"Partial","Open"))))</f>
        <v/>
      </c>
      <c r="J416">
        <f>IF(I416="Overdue",TODAY()-E416,"")</f>
        <v/>
      </c>
    </row>
    <row r="417">
      <c r="A417" s="16" t="n"/>
      <c r="B417" s="16" t="n"/>
      <c r="C417" s="15" t="n"/>
      <c r="D417" s="16" t="n"/>
      <c r="E417" s="20">
        <f>IF(OR(C417="",D417=""),"",C417+D417)</f>
        <v/>
      </c>
      <c r="F417" s="18" t="n"/>
      <c r="G417" s="6">
        <f>IF(A417="","",SUMIFS(Income!$E$5:$E$504,Income!$C$5:$C$504,A417))</f>
        <v/>
      </c>
      <c r="H417" s="6">
        <f>IF(OR(A417="",F417=""),"",F417-G417)</f>
        <v/>
      </c>
      <c r="I417">
        <f>IF(OR(A417="",F417=""),"",IF(H417&lt;=0.004,"Paid",IF(AND(E417&lt;&gt;"",TODAY()&gt;E417),"Overdue",IF(G417&gt;0,"Partial","Open"))))</f>
        <v/>
      </c>
      <c r="J417">
        <f>IF(I417="Overdue",TODAY()-E417,"")</f>
        <v/>
      </c>
    </row>
    <row r="418">
      <c r="A418" s="16" t="n"/>
      <c r="B418" s="16" t="n"/>
      <c r="C418" s="15" t="n"/>
      <c r="D418" s="16" t="n"/>
      <c r="E418" s="20">
        <f>IF(OR(C418="",D418=""),"",C418+D418)</f>
        <v/>
      </c>
      <c r="F418" s="18" t="n"/>
      <c r="G418" s="6">
        <f>IF(A418="","",SUMIFS(Income!$E$5:$E$504,Income!$C$5:$C$504,A418))</f>
        <v/>
      </c>
      <c r="H418" s="6">
        <f>IF(OR(A418="",F418=""),"",F418-G418)</f>
        <v/>
      </c>
      <c r="I418">
        <f>IF(OR(A418="",F418=""),"",IF(H418&lt;=0.004,"Paid",IF(AND(E418&lt;&gt;"",TODAY()&gt;E418),"Overdue",IF(G418&gt;0,"Partial","Open"))))</f>
        <v/>
      </c>
      <c r="J418">
        <f>IF(I418="Overdue",TODAY()-E418,"")</f>
        <v/>
      </c>
    </row>
    <row r="419">
      <c r="A419" s="16" t="n"/>
      <c r="B419" s="16" t="n"/>
      <c r="C419" s="15" t="n"/>
      <c r="D419" s="16" t="n"/>
      <c r="E419" s="20">
        <f>IF(OR(C419="",D419=""),"",C419+D419)</f>
        <v/>
      </c>
      <c r="F419" s="18" t="n"/>
      <c r="G419" s="6">
        <f>IF(A419="","",SUMIFS(Income!$E$5:$E$504,Income!$C$5:$C$504,A419))</f>
        <v/>
      </c>
      <c r="H419" s="6">
        <f>IF(OR(A419="",F419=""),"",F419-G419)</f>
        <v/>
      </c>
      <c r="I419">
        <f>IF(OR(A419="",F419=""),"",IF(H419&lt;=0.004,"Paid",IF(AND(E419&lt;&gt;"",TODAY()&gt;E419),"Overdue",IF(G419&gt;0,"Partial","Open"))))</f>
        <v/>
      </c>
      <c r="J419">
        <f>IF(I419="Overdue",TODAY()-E419,"")</f>
        <v/>
      </c>
    </row>
    <row r="420">
      <c r="A420" s="16" t="n"/>
      <c r="B420" s="16" t="n"/>
      <c r="C420" s="15" t="n"/>
      <c r="D420" s="16" t="n"/>
      <c r="E420" s="20">
        <f>IF(OR(C420="",D420=""),"",C420+D420)</f>
        <v/>
      </c>
      <c r="F420" s="18" t="n"/>
      <c r="G420" s="6">
        <f>IF(A420="","",SUMIFS(Income!$E$5:$E$504,Income!$C$5:$C$504,A420))</f>
        <v/>
      </c>
      <c r="H420" s="6">
        <f>IF(OR(A420="",F420=""),"",F420-G420)</f>
        <v/>
      </c>
      <c r="I420">
        <f>IF(OR(A420="",F420=""),"",IF(H420&lt;=0.004,"Paid",IF(AND(E420&lt;&gt;"",TODAY()&gt;E420),"Overdue",IF(G420&gt;0,"Partial","Open"))))</f>
        <v/>
      </c>
      <c r="J420">
        <f>IF(I420="Overdue",TODAY()-E420,"")</f>
        <v/>
      </c>
    </row>
    <row r="421">
      <c r="A421" s="16" t="n"/>
      <c r="B421" s="16" t="n"/>
      <c r="C421" s="15" t="n"/>
      <c r="D421" s="16" t="n"/>
      <c r="E421" s="20">
        <f>IF(OR(C421="",D421=""),"",C421+D421)</f>
        <v/>
      </c>
      <c r="F421" s="18" t="n"/>
      <c r="G421" s="6">
        <f>IF(A421="","",SUMIFS(Income!$E$5:$E$504,Income!$C$5:$C$504,A421))</f>
        <v/>
      </c>
      <c r="H421" s="6">
        <f>IF(OR(A421="",F421=""),"",F421-G421)</f>
        <v/>
      </c>
      <c r="I421">
        <f>IF(OR(A421="",F421=""),"",IF(H421&lt;=0.004,"Paid",IF(AND(E421&lt;&gt;"",TODAY()&gt;E421),"Overdue",IF(G421&gt;0,"Partial","Open"))))</f>
        <v/>
      </c>
      <c r="J421">
        <f>IF(I421="Overdue",TODAY()-E421,"")</f>
        <v/>
      </c>
    </row>
    <row r="422">
      <c r="A422" s="16" t="n"/>
      <c r="B422" s="16" t="n"/>
      <c r="C422" s="15" t="n"/>
      <c r="D422" s="16" t="n"/>
      <c r="E422" s="20">
        <f>IF(OR(C422="",D422=""),"",C422+D422)</f>
        <v/>
      </c>
      <c r="F422" s="18" t="n"/>
      <c r="G422" s="6">
        <f>IF(A422="","",SUMIFS(Income!$E$5:$E$504,Income!$C$5:$C$504,A422))</f>
        <v/>
      </c>
      <c r="H422" s="6">
        <f>IF(OR(A422="",F422=""),"",F422-G422)</f>
        <v/>
      </c>
      <c r="I422">
        <f>IF(OR(A422="",F422=""),"",IF(H422&lt;=0.004,"Paid",IF(AND(E422&lt;&gt;"",TODAY()&gt;E422),"Overdue",IF(G422&gt;0,"Partial","Open"))))</f>
        <v/>
      </c>
      <c r="J422">
        <f>IF(I422="Overdue",TODAY()-E422,"")</f>
        <v/>
      </c>
    </row>
    <row r="423">
      <c r="A423" s="16" t="n"/>
      <c r="B423" s="16" t="n"/>
      <c r="C423" s="15" t="n"/>
      <c r="D423" s="16" t="n"/>
      <c r="E423" s="20">
        <f>IF(OR(C423="",D423=""),"",C423+D423)</f>
        <v/>
      </c>
      <c r="F423" s="18" t="n"/>
      <c r="G423" s="6">
        <f>IF(A423="","",SUMIFS(Income!$E$5:$E$504,Income!$C$5:$C$504,A423))</f>
        <v/>
      </c>
      <c r="H423" s="6">
        <f>IF(OR(A423="",F423=""),"",F423-G423)</f>
        <v/>
      </c>
      <c r="I423">
        <f>IF(OR(A423="",F423=""),"",IF(H423&lt;=0.004,"Paid",IF(AND(E423&lt;&gt;"",TODAY()&gt;E423),"Overdue",IF(G423&gt;0,"Partial","Open"))))</f>
        <v/>
      </c>
      <c r="J423">
        <f>IF(I423="Overdue",TODAY()-E423,"")</f>
        <v/>
      </c>
    </row>
    <row r="424">
      <c r="A424" s="16" t="n"/>
      <c r="B424" s="16" t="n"/>
      <c r="C424" s="15" t="n"/>
      <c r="D424" s="16" t="n"/>
      <c r="E424" s="20">
        <f>IF(OR(C424="",D424=""),"",C424+D424)</f>
        <v/>
      </c>
      <c r="F424" s="18" t="n"/>
      <c r="G424" s="6">
        <f>IF(A424="","",SUMIFS(Income!$E$5:$E$504,Income!$C$5:$C$504,A424))</f>
        <v/>
      </c>
      <c r="H424" s="6">
        <f>IF(OR(A424="",F424=""),"",F424-G424)</f>
        <v/>
      </c>
      <c r="I424">
        <f>IF(OR(A424="",F424=""),"",IF(H424&lt;=0.004,"Paid",IF(AND(E424&lt;&gt;"",TODAY()&gt;E424),"Overdue",IF(G424&gt;0,"Partial","Open"))))</f>
        <v/>
      </c>
      <c r="J424">
        <f>IF(I424="Overdue",TODAY()-E424,"")</f>
        <v/>
      </c>
    </row>
    <row r="425">
      <c r="A425" s="16" t="n"/>
      <c r="B425" s="16" t="n"/>
      <c r="C425" s="15" t="n"/>
      <c r="D425" s="16" t="n"/>
      <c r="E425" s="20">
        <f>IF(OR(C425="",D425=""),"",C425+D425)</f>
        <v/>
      </c>
      <c r="F425" s="18" t="n"/>
      <c r="G425" s="6">
        <f>IF(A425="","",SUMIFS(Income!$E$5:$E$504,Income!$C$5:$C$504,A425))</f>
        <v/>
      </c>
      <c r="H425" s="6">
        <f>IF(OR(A425="",F425=""),"",F425-G425)</f>
        <v/>
      </c>
      <c r="I425">
        <f>IF(OR(A425="",F425=""),"",IF(H425&lt;=0.004,"Paid",IF(AND(E425&lt;&gt;"",TODAY()&gt;E425),"Overdue",IF(G425&gt;0,"Partial","Open"))))</f>
        <v/>
      </c>
      <c r="J425">
        <f>IF(I425="Overdue",TODAY()-E425,"")</f>
        <v/>
      </c>
    </row>
    <row r="426">
      <c r="A426" s="16" t="n"/>
      <c r="B426" s="16" t="n"/>
      <c r="C426" s="15" t="n"/>
      <c r="D426" s="16" t="n"/>
      <c r="E426" s="20">
        <f>IF(OR(C426="",D426=""),"",C426+D426)</f>
        <v/>
      </c>
      <c r="F426" s="18" t="n"/>
      <c r="G426" s="6">
        <f>IF(A426="","",SUMIFS(Income!$E$5:$E$504,Income!$C$5:$C$504,A426))</f>
        <v/>
      </c>
      <c r="H426" s="6">
        <f>IF(OR(A426="",F426=""),"",F426-G426)</f>
        <v/>
      </c>
      <c r="I426">
        <f>IF(OR(A426="",F426=""),"",IF(H426&lt;=0.004,"Paid",IF(AND(E426&lt;&gt;"",TODAY()&gt;E426),"Overdue",IF(G426&gt;0,"Partial","Open"))))</f>
        <v/>
      </c>
      <c r="J426">
        <f>IF(I426="Overdue",TODAY()-E426,"")</f>
        <v/>
      </c>
    </row>
    <row r="427">
      <c r="A427" s="16" t="n"/>
      <c r="B427" s="16" t="n"/>
      <c r="C427" s="15" t="n"/>
      <c r="D427" s="16" t="n"/>
      <c r="E427" s="20">
        <f>IF(OR(C427="",D427=""),"",C427+D427)</f>
        <v/>
      </c>
      <c r="F427" s="18" t="n"/>
      <c r="G427" s="6">
        <f>IF(A427="","",SUMIFS(Income!$E$5:$E$504,Income!$C$5:$C$504,A427))</f>
        <v/>
      </c>
      <c r="H427" s="6">
        <f>IF(OR(A427="",F427=""),"",F427-G427)</f>
        <v/>
      </c>
      <c r="I427">
        <f>IF(OR(A427="",F427=""),"",IF(H427&lt;=0.004,"Paid",IF(AND(E427&lt;&gt;"",TODAY()&gt;E427),"Overdue",IF(G427&gt;0,"Partial","Open"))))</f>
        <v/>
      </c>
      <c r="J427">
        <f>IF(I427="Overdue",TODAY()-E427,"")</f>
        <v/>
      </c>
    </row>
    <row r="428">
      <c r="A428" s="16" t="n"/>
      <c r="B428" s="16" t="n"/>
      <c r="C428" s="15" t="n"/>
      <c r="D428" s="16" t="n"/>
      <c r="E428" s="20">
        <f>IF(OR(C428="",D428=""),"",C428+D428)</f>
        <v/>
      </c>
      <c r="F428" s="18" t="n"/>
      <c r="G428" s="6">
        <f>IF(A428="","",SUMIFS(Income!$E$5:$E$504,Income!$C$5:$C$504,A428))</f>
        <v/>
      </c>
      <c r="H428" s="6">
        <f>IF(OR(A428="",F428=""),"",F428-G428)</f>
        <v/>
      </c>
      <c r="I428">
        <f>IF(OR(A428="",F428=""),"",IF(H428&lt;=0.004,"Paid",IF(AND(E428&lt;&gt;"",TODAY()&gt;E428),"Overdue",IF(G428&gt;0,"Partial","Open"))))</f>
        <v/>
      </c>
      <c r="J428">
        <f>IF(I428="Overdue",TODAY()-E428,"")</f>
        <v/>
      </c>
    </row>
    <row r="429">
      <c r="A429" s="16" t="n"/>
      <c r="B429" s="16" t="n"/>
      <c r="C429" s="15" t="n"/>
      <c r="D429" s="16" t="n"/>
      <c r="E429" s="20">
        <f>IF(OR(C429="",D429=""),"",C429+D429)</f>
        <v/>
      </c>
      <c r="F429" s="18" t="n"/>
      <c r="G429" s="6">
        <f>IF(A429="","",SUMIFS(Income!$E$5:$E$504,Income!$C$5:$C$504,A429))</f>
        <v/>
      </c>
      <c r="H429" s="6">
        <f>IF(OR(A429="",F429=""),"",F429-G429)</f>
        <v/>
      </c>
      <c r="I429">
        <f>IF(OR(A429="",F429=""),"",IF(H429&lt;=0.004,"Paid",IF(AND(E429&lt;&gt;"",TODAY()&gt;E429),"Overdue",IF(G429&gt;0,"Partial","Open"))))</f>
        <v/>
      </c>
      <c r="J429">
        <f>IF(I429="Overdue",TODAY()-E429,"")</f>
        <v/>
      </c>
    </row>
    <row r="430">
      <c r="A430" s="16" t="n"/>
      <c r="B430" s="16" t="n"/>
      <c r="C430" s="15" t="n"/>
      <c r="D430" s="16" t="n"/>
      <c r="E430" s="20">
        <f>IF(OR(C430="",D430=""),"",C430+D430)</f>
        <v/>
      </c>
      <c r="F430" s="18" t="n"/>
      <c r="G430" s="6">
        <f>IF(A430="","",SUMIFS(Income!$E$5:$E$504,Income!$C$5:$C$504,A430))</f>
        <v/>
      </c>
      <c r="H430" s="6">
        <f>IF(OR(A430="",F430=""),"",F430-G430)</f>
        <v/>
      </c>
      <c r="I430">
        <f>IF(OR(A430="",F430=""),"",IF(H430&lt;=0.004,"Paid",IF(AND(E430&lt;&gt;"",TODAY()&gt;E430),"Overdue",IF(G430&gt;0,"Partial","Open"))))</f>
        <v/>
      </c>
      <c r="J430">
        <f>IF(I430="Overdue",TODAY()-E430,"")</f>
        <v/>
      </c>
    </row>
    <row r="431">
      <c r="A431" s="16" t="n"/>
      <c r="B431" s="16" t="n"/>
      <c r="C431" s="15" t="n"/>
      <c r="D431" s="16" t="n"/>
      <c r="E431" s="20">
        <f>IF(OR(C431="",D431=""),"",C431+D431)</f>
        <v/>
      </c>
      <c r="F431" s="18" t="n"/>
      <c r="G431" s="6">
        <f>IF(A431="","",SUMIFS(Income!$E$5:$E$504,Income!$C$5:$C$504,A431))</f>
        <v/>
      </c>
      <c r="H431" s="6">
        <f>IF(OR(A431="",F431=""),"",F431-G431)</f>
        <v/>
      </c>
      <c r="I431">
        <f>IF(OR(A431="",F431=""),"",IF(H431&lt;=0.004,"Paid",IF(AND(E431&lt;&gt;"",TODAY()&gt;E431),"Overdue",IF(G431&gt;0,"Partial","Open"))))</f>
        <v/>
      </c>
      <c r="J431">
        <f>IF(I431="Overdue",TODAY()-E431,"")</f>
        <v/>
      </c>
    </row>
    <row r="432">
      <c r="A432" s="16" t="n"/>
      <c r="B432" s="16" t="n"/>
      <c r="C432" s="15" t="n"/>
      <c r="D432" s="16" t="n"/>
      <c r="E432" s="20">
        <f>IF(OR(C432="",D432=""),"",C432+D432)</f>
        <v/>
      </c>
      <c r="F432" s="18" t="n"/>
      <c r="G432" s="6">
        <f>IF(A432="","",SUMIFS(Income!$E$5:$E$504,Income!$C$5:$C$504,A432))</f>
        <v/>
      </c>
      <c r="H432" s="6">
        <f>IF(OR(A432="",F432=""),"",F432-G432)</f>
        <v/>
      </c>
      <c r="I432">
        <f>IF(OR(A432="",F432=""),"",IF(H432&lt;=0.004,"Paid",IF(AND(E432&lt;&gt;"",TODAY()&gt;E432),"Overdue",IF(G432&gt;0,"Partial","Open"))))</f>
        <v/>
      </c>
      <c r="J432">
        <f>IF(I432="Overdue",TODAY()-E432,"")</f>
        <v/>
      </c>
    </row>
    <row r="433">
      <c r="A433" s="16" t="n"/>
      <c r="B433" s="16" t="n"/>
      <c r="C433" s="15" t="n"/>
      <c r="D433" s="16" t="n"/>
      <c r="E433" s="20">
        <f>IF(OR(C433="",D433=""),"",C433+D433)</f>
        <v/>
      </c>
      <c r="F433" s="18" t="n"/>
      <c r="G433" s="6">
        <f>IF(A433="","",SUMIFS(Income!$E$5:$E$504,Income!$C$5:$C$504,A433))</f>
        <v/>
      </c>
      <c r="H433" s="6">
        <f>IF(OR(A433="",F433=""),"",F433-G433)</f>
        <v/>
      </c>
      <c r="I433">
        <f>IF(OR(A433="",F433=""),"",IF(H433&lt;=0.004,"Paid",IF(AND(E433&lt;&gt;"",TODAY()&gt;E433),"Overdue",IF(G433&gt;0,"Partial","Open"))))</f>
        <v/>
      </c>
      <c r="J433">
        <f>IF(I433="Overdue",TODAY()-E433,"")</f>
        <v/>
      </c>
    </row>
    <row r="434">
      <c r="A434" s="16" t="n"/>
      <c r="B434" s="16" t="n"/>
      <c r="C434" s="15" t="n"/>
      <c r="D434" s="16" t="n"/>
      <c r="E434" s="20">
        <f>IF(OR(C434="",D434=""),"",C434+D434)</f>
        <v/>
      </c>
      <c r="F434" s="18" t="n"/>
      <c r="G434" s="6">
        <f>IF(A434="","",SUMIFS(Income!$E$5:$E$504,Income!$C$5:$C$504,A434))</f>
        <v/>
      </c>
      <c r="H434" s="6">
        <f>IF(OR(A434="",F434=""),"",F434-G434)</f>
        <v/>
      </c>
      <c r="I434">
        <f>IF(OR(A434="",F434=""),"",IF(H434&lt;=0.004,"Paid",IF(AND(E434&lt;&gt;"",TODAY()&gt;E434),"Overdue",IF(G434&gt;0,"Partial","Open"))))</f>
        <v/>
      </c>
      <c r="J434">
        <f>IF(I434="Overdue",TODAY()-E434,"")</f>
        <v/>
      </c>
    </row>
    <row r="435">
      <c r="A435" s="16" t="n"/>
      <c r="B435" s="16" t="n"/>
      <c r="C435" s="15" t="n"/>
      <c r="D435" s="16" t="n"/>
      <c r="E435" s="20">
        <f>IF(OR(C435="",D435=""),"",C435+D435)</f>
        <v/>
      </c>
      <c r="F435" s="18" t="n"/>
      <c r="G435" s="6">
        <f>IF(A435="","",SUMIFS(Income!$E$5:$E$504,Income!$C$5:$C$504,A435))</f>
        <v/>
      </c>
      <c r="H435" s="6">
        <f>IF(OR(A435="",F435=""),"",F435-G435)</f>
        <v/>
      </c>
      <c r="I435">
        <f>IF(OR(A435="",F435=""),"",IF(H435&lt;=0.004,"Paid",IF(AND(E435&lt;&gt;"",TODAY()&gt;E435),"Overdue",IF(G435&gt;0,"Partial","Open"))))</f>
        <v/>
      </c>
      <c r="J435">
        <f>IF(I435="Overdue",TODAY()-E435,"")</f>
        <v/>
      </c>
    </row>
    <row r="436">
      <c r="A436" s="16" t="n"/>
      <c r="B436" s="16" t="n"/>
      <c r="C436" s="15" t="n"/>
      <c r="D436" s="16" t="n"/>
      <c r="E436" s="20">
        <f>IF(OR(C436="",D436=""),"",C436+D436)</f>
        <v/>
      </c>
      <c r="F436" s="18" t="n"/>
      <c r="G436" s="6">
        <f>IF(A436="","",SUMIFS(Income!$E$5:$E$504,Income!$C$5:$C$504,A436))</f>
        <v/>
      </c>
      <c r="H436" s="6">
        <f>IF(OR(A436="",F436=""),"",F436-G436)</f>
        <v/>
      </c>
      <c r="I436">
        <f>IF(OR(A436="",F436=""),"",IF(H436&lt;=0.004,"Paid",IF(AND(E436&lt;&gt;"",TODAY()&gt;E436),"Overdue",IF(G436&gt;0,"Partial","Open"))))</f>
        <v/>
      </c>
      <c r="J436">
        <f>IF(I436="Overdue",TODAY()-E436,"")</f>
        <v/>
      </c>
    </row>
    <row r="437">
      <c r="A437" s="16" t="n"/>
      <c r="B437" s="16" t="n"/>
      <c r="C437" s="15" t="n"/>
      <c r="D437" s="16" t="n"/>
      <c r="E437" s="20">
        <f>IF(OR(C437="",D437=""),"",C437+D437)</f>
        <v/>
      </c>
      <c r="F437" s="18" t="n"/>
      <c r="G437" s="6">
        <f>IF(A437="","",SUMIFS(Income!$E$5:$E$504,Income!$C$5:$C$504,A437))</f>
        <v/>
      </c>
      <c r="H437" s="6">
        <f>IF(OR(A437="",F437=""),"",F437-G437)</f>
        <v/>
      </c>
      <c r="I437">
        <f>IF(OR(A437="",F437=""),"",IF(H437&lt;=0.004,"Paid",IF(AND(E437&lt;&gt;"",TODAY()&gt;E437),"Overdue",IF(G437&gt;0,"Partial","Open"))))</f>
        <v/>
      </c>
      <c r="J437">
        <f>IF(I437="Overdue",TODAY()-E437,"")</f>
        <v/>
      </c>
    </row>
    <row r="438">
      <c r="A438" s="16" t="n"/>
      <c r="B438" s="16" t="n"/>
      <c r="C438" s="15" t="n"/>
      <c r="D438" s="16" t="n"/>
      <c r="E438" s="20">
        <f>IF(OR(C438="",D438=""),"",C438+D438)</f>
        <v/>
      </c>
      <c r="F438" s="18" t="n"/>
      <c r="G438" s="6">
        <f>IF(A438="","",SUMIFS(Income!$E$5:$E$504,Income!$C$5:$C$504,A438))</f>
        <v/>
      </c>
      <c r="H438" s="6">
        <f>IF(OR(A438="",F438=""),"",F438-G438)</f>
        <v/>
      </c>
      <c r="I438">
        <f>IF(OR(A438="",F438=""),"",IF(H438&lt;=0.004,"Paid",IF(AND(E438&lt;&gt;"",TODAY()&gt;E438),"Overdue",IF(G438&gt;0,"Partial","Open"))))</f>
        <v/>
      </c>
      <c r="J438">
        <f>IF(I438="Overdue",TODAY()-E438,"")</f>
        <v/>
      </c>
    </row>
    <row r="439">
      <c r="A439" s="16" t="n"/>
      <c r="B439" s="16" t="n"/>
      <c r="C439" s="15" t="n"/>
      <c r="D439" s="16" t="n"/>
      <c r="E439" s="20">
        <f>IF(OR(C439="",D439=""),"",C439+D439)</f>
        <v/>
      </c>
      <c r="F439" s="18" t="n"/>
      <c r="G439" s="6">
        <f>IF(A439="","",SUMIFS(Income!$E$5:$E$504,Income!$C$5:$C$504,A439))</f>
        <v/>
      </c>
      <c r="H439" s="6">
        <f>IF(OR(A439="",F439=""),"",F439-G439)</f>
        <v/>
      </c>
      <c r="I439">
        <f>IF(OR(A439="",F439=""),"",IF(H439&lt;=0.004,"Paid",IF(AND(E439&lt;&gt;"",TODAY()&gt;E439),"Overdue",IF(G439&gt;0,"Partial","Open"))))</f>
        <v/>
      </c>
      <c r="J439">
        <f>IF(I439="Overdue",TODAY()-E439,"")</f>
        <v/>
      </c>
    </row>
    <row r="440">
      <c r="A440" s="16" t="n"/>
      <c r="B440" s="16" t="n"/>
      <c r="C440" s="15" t="n"/>
      <c r="D440" s="16" t="n"/>
      <c r="E440" s="20">
        <f>IF(OR(C440="",D440=""),"",C440+D440)</f>
        <v/>
      </c>
      <c r="F440" s="18" t="n"/>
      <c r="G440" s="6">
        <f>IF(A440="","",SUMIFS(Income!$E$5:$E$504,Income!$C$5:$C$504,A440))</f>
        <v/>
      </c>
      <c r="H440" s="6">
        <f>IF(OR(A440="",F440=""),"",F440-G440)</f>
        <v/>
      </c>
      <c r="I440">
        <f>IF(OR(A440="",F440=""),"",IF(H440&lt;=0.004,"Paid",IF(AND(E440&lt;&gt;"",TODAY()&gt;E440),"Overdue",IF(G440&gt;0,"Partial","Open"))))</f>
        <v/>
      </c>
      <c r="J440">
        <f>IF(I440="Overdue",TODAY()-E440,"")</f>
        <v/>
      </c>
    </row>
    <row r="441">
      <c r="A441" s="16" t="n"/>
      <c r="B441" s="16" t="n"/>
      <c r="C441" s="15" t="n"/>
      <c r="D441" s="16" t="n"/>
      <c r="E441" s="20">
        <f>IF(OR(C441="",D441=""),"",C441+D441)</f>
        <v/>
      </c>
      <c r="F441" s="18" t="n"/>
      <c r="G441" s="6">
        <f>IF(A441="","",SUMIFS(Income!$E$5:$E$504,Income!$C$5:$C$504,A441))</f>
        <v/>
      </c>
      <c r="H441" s="6">
        <f>IF(OR(A441="",F441=""),"",F441-G441)</f>
        <v/>
      </c>
      <c r="I441">
        <f>IF(OR(A441="",F441=""),"",IF(H441&lt;=0.004,"Paid",IF(AND(E441&lt;&gt;"",TODAY()&gt;E441),"Overdue",IF(G441&gt;0,"Partial","Open"))))</f>
        <v/>
      </c>
      <c r="J441">
        <f>IF(I441="Overdue",TODAY()-E441,"")</f>
        <v/>
      </c>
    </row>
    <row r="442">
      <c r="A442" s="16" t="n"/>
      <c r="B442" s="16" t="n"/>
      <c r="C442" s="15" t="n"/>
      <c r="D442" s="16" t="n"/>
      <c r="E442" s="20">
        <f>IF(OR(C442="",D442=""),"",C442+D442)</f>
        <v/>
      </c>
      <c r="F442" s="18" t="n"/>
      <c r="G442" s="6">
        <f>IF(A442="","",SUMIFS(Income!$E$5:$E$504,Income!$C$5:$C$504,A442))</f>
        <v/>
      </c>
      <c r="H442" s="6">
        <f>IF(OR(A442="",F442=""),"",F442-G442)</f>
        <v/>
      </c>
      <c r="I442">
        <f>IF(OR(A442="",F442=""),"",IF(H442&lt;=0.004,"Paid",IF(AND(E442&lt;&gt;"",TODAY()&gt;E442),"Overdue",IF(G442&gt;0,"Partial","Open"))))</f>
        <v/>
      </c>
      <c r="J442">
        <f>IF(I442="Overdue",TODAY()-E442,"")</f>
        <v/>
      </c>
    </row>
    <row r="443">
      <c r="A443" s="16" t="n"/>
      <c r="B443" s="16" t="n"/>
      <c r="C443" s="15" t="n"/>
      <c r="D443" s="16" t="n"/>
      <c r="E443" s="20">
        <f>IF(OR(C443="",D443=""),"",C443+D443)</f>
        <v/>
      </c>
      <c r="F443" s="18" t="n"/>
      <c r="G443" s="6">
        <f>IF(A443="","",SUMIFS(Income!$E$5:$E$504,Income!$C$5:$C$504,A443))</f>
        <v/>
      </c>
      <c r="H443" s="6">
        <f>IF(OR(A443="",F443=""),"",F443-G443)</f>
        <v/>
      </c>
      <c r="I443">
        <f>IF(OR(A443="",F443=""),"",IF(H443&lt;=0.004,"Paid",IF(AND(E443&lt;&gt;"",TODAY()&gt;E443),"Overdue",IF(G443&gt;0,"Partial","Open"))))</f>
        <v/>
      </c>
      <c r="J443">
        <f>IF(I443="Overdue",TODAY()-E443,"")</f>
        <v/>
      </c>
    </row>
    <row r="444">
      <c r="A444" s="16" t="n"/>
      <c r="B444" s="16" t="n"/>
      <c r="C444" s="15" t="n"/>
      <c r="D444" s="16" t="n"/>
      <c r="E444" s="20">
        <f>IF(OR(C444="",D444=""),"",C444+D444)</f>
        <v/>
      </c>
      <c r="F444" s="18" t="n"/>
      <c r="G444" s="6">
        <f>IF(A444="","",SUMIFS(Income!$E$5:$E$504,Income!$C$5:$C$504,A444))</f>
        <v/>
      </c>
      <c r="H444" s="6">
        <f>IF(OR(A444="",F444=""),"",F444-G444)</f>
        <v/>
      </c>
      <c r="I444">
        <f>IF(OR(A444="",F444=""),"",IF(H444&lt;=0.004,"Paid",IF(AND(E444&lt;&gt;"",TODAY()&gt;E444),"Overdue",IF(G444&gt;0,"Partial","Open"))))</f>
        <v/>
      </c>
      <c r="J444">
        <f>IF(I444="Overdue",TODAY()-E444,"")</f>
        <v/>
      </c>
    </row>
    <row r="445">
      <c r="A445" s="16" t="n"/>
      <c r="B445" s="16" t="n"/>
      <c r="C445" s="15" t="n"/>
      <c r="D445" s="16" t="n"/>
      <c r="E445" s="20">
        <f>IF(OR(C445="",D445=""),"",C445+D445)</f>
        <v/>
      </c>
      <c r="F445" s="18" t="n"/>
      <c r="G445" s="6">
        <f>IF(A445="","",SUMIFS(Income!$E$5:$E$504,Income!$C$5:$C$504,A445))</f>
        <v/>
      </c>
      <c r="H445" s="6">
        <f>IF(OR(A445="",F445=""),"",F445-G445)</f>
        <v/>
      </c>
      <c r="I445">
        <f>IF(OR(A445="",F445=""),"",IF(H445&lt;=0.004,"Paid",IF(AND(E445&lt;&gt;"",TODAY()&gt;E445),"Overdue",IF(G445&gt;0,"Partial","Open"))))</f>
        <v/>
      </c>
      <c r="J445">
        <f>IF(I445="Overdue",TODAY()-E445,"")</f>
        <v/>
      </c>
    </row>
    <row r="446">
      <c r="A446" s="16" t="n"/>
      <c r="B446" s="16" t="n"/>
      <c r="C446" s="15" t="n"/>
      <c r="D446" s="16" t="n"/>
      <c r="E446" s="20">
        <f>IF(OR(C446="",D446=""),"",C446+D446)</f>
        <v/>
      </c>
      <c r="F446" s="18" t="n"/>
      <c r="G446" s="6">
        <f>IF(A446="","",SUMIFS(Income!$E$5:$E$504,Income!$C$5:$C$504,A446))</f>
        <v/>
      </c>
      <c r="H446" s="6">
        <f>IF(OR(A446="",F446=""),"",F446-G446)</f>
        <v/>
      </c>
      <c r="I446">
        <f>IF(OR(A446="",F446=""),"",IF(H446&lt;=0.004,"Paid",IF(AND(E446&lt;&gt;"",TODAY()&gt;E446),"Overdue",IF(G446&gt;0,"Partial","Open"))))</f>
        <v/>
      </c>
      <c r="J446">
        <f>IF(I446="Overdue",TODAY()-E446,"")</f>
        <v/>
      </c>
    </row>
    <row r="447">
      <c r="A447" s="16" t="n"/>
      <c r="B447" s="16" t="n"/>
      <c r="C447" s="15" t="n"/>
      <c r="D447" s="16" t="n"/>
      <c r="E447" s="20">
        <f>IF(OR(C447="",D447=""),"",C447+D447)</f>
        <v/>
      </c>
      <c r="F447" s="18" t="n"/>
      <c r="G447" s="6">
        <f>IF(A447="","",SUMIFS(Income!$E$5:$E$504,Income!$C$5:$C$504,A447))</f>
        <v/>
      </c>
      <c r="H447" s="6">
        <f>IF(OR(A447="",F447=""),"",F447-G447)</f>
        <v/>
      </c>
      <c r="I447">
        <f>IF(OR(A447="",F447=""),"",IF(H447&lt;=0.004,"Paid",IF(AND(E447&lt;&gt;"",TODAY()&gt;E447),"Overdue",IF(G447&gt;0,"Partial","Open"))))</f>
        <v/>
      </c>
      <c r="J447">
        <f>IF(I447="Overdue",TODAY()-E447,"")</f>
        <v/>
      </c>
    </row>
    <row r="448">
      <c r="A448" s="16" t="n"/>
      <c r="B448" s="16" t="n"/>
      <c r="C448" s="15" t="n"/>
      <c r="D448" s="16" t="n"/>
      <c r="E448" s="20">
        <f>IF(OR(C448="",D448=""),"",C448+D448)</f>
        <v/>
      </c>
      <c r="F448" s="18" t="n"/>
      <c r="G448" s="6">
        <f>IF(A448="","",SUMIFS(Income!$E$5:$E$504,Income!$C$5:$C$504,A448))</f>
        <v/>
      </c>
      <c r="H448" s="6">
        <f>IF(OR(A448="",F448=""),"",F448-G448)</f>
        <v/>
      </c>
      <c r="I448">
        <f>IF(OR(A448="",F448=""),"",IF(H448&lt;=0.004,"Paid",IF(AND(E448&lt;&gt;"",TODAY()&gt;E448),"Overdue",IF(G448&gt;0,"Partial","Open"))))</f>
        <v/>
      </c>
      <c r="J448">
        <f>IF(I448="Overdue",TODAY()-E448,"")</f>
        <v/>
      </c>
    </row>
    <row r="449">
      <c r="A449" s="16" t="n"/>
      <c r="B449" s="16" t="n"/>
      <c r="C449" s="15" t="n"/>
      <c r="D449" s="16" t="n"/>
      <c r="E449" s="20">
        <f>IF(OR(C449="",D449=""),"",C449+D449)</f>
        <v/>
      </c>
      <c r="F449" s="18" t="n"/>
      <c r="G449" s="6">
        <f>IF(A449="","",SUMIFS(Income!$E$5:$E$504,Income!$C$5:$C$504,A449))</f>
        <v/>
      </c>
      <c r="H449" s="6">
        <f>IF(OR(A449="",F449=""),"",F449-G449)</f>
        <v/>
      </c>
      <c r="I449">
        <f>IF(OR(A449="",F449=""),"",IF(H449&lt;=0.004,"Paid",IF(AND(E449&lt;&gt;"",TODAY()&gt;E449),"Overdue",IF(G449&gt;0,"Partial","Open"))))</f>
        <v/>
      </c>
      <c r="J449">
        <f>IF(I449="Overdue",TODAY()-E449,"")</f>
        <v/>
      </c>
    </row>
    <row r="450">
      <c r="A450" s="16" t="n"/>
      <c r="B450" s="16" t="n"/>
      <c r="C450" s="15" t="n"/>
      <c r="D450" s="16" t="n"/>
      <c r="E450" s="20">
        <f>IF(OR(C450="",D450=""),"",C450+D450)</f>
        <v/>
      </c>
      <c r="F450" s="18" t="n"/>
      <c r="G450" s="6">
        <f>IF(A450="","",SUMIFS(Income!$E$5:$E$504,Income!$C$5:$C$504,A450))</f>
        <v/>
      </c>
      <c r="H450" s="6">
        <f>IF(OR(A450="",F450=""),"",F450-G450)</f>
        <v/>
      </c>
      <c r="I450">
        <f>IF(OR(A450="",F450=""),"",IF(H450&lt;=0.004,"Paid",IF(AND(E450&lt;&gt;"",TODAY()&gt;E450),"Overdue",IF(G450&gt;0,"Partial","Open"))))</f>
        <v/>
      </c>
      <c r="J450">
        <f>IF(I450="Overdue",TODAY()-E450,"")</f>
        <v/>
      </c>
    </row>
    <row r="451">
      <c r="A451" s="16" t="n"/>
      <c r="B451" s="16" t="n"/>
      <c r="C451" s="15" t="n"/>
      <c r="D451" s="16" t="n"/>
      <c r="E451" s="20">
        <f>IF(OR(C451="",D451=""),"",C451+D451)</f>
        <v/>
      </c>
      <c r="F451" s="18" t="n"/>
      <c r="G451" s="6">
        <f>IF(A451="","",SUMIFS(Income!$E$5:$E$504,Income!$C$5:$C$504,A451))</f>
        <v/>
      </c>
      <c r="H451" s="6">
        <f>IF(OR(A451="",F451=""),"",F451-G451)</f>
        <v/>
      </c>
      <c r="I451">
        <f>IF(OR(A451="",F451=""),"",IF(H451&lt;=0.004,"Paid",IF(AND(E451&lt;&gt;"",TODAY()&gt;E451),"Overdue",IF(G451&gt;0,"Partial","Open"))))</f>
        <v/>
      </c>
      <c r="J451">
        <f>IF(I451="Overdue",TODAY()-E451,"")</f>
        <v/>
      </c>
    </row>
    <row r="452">
      <c r="A452" s="16" t="n"/>
      <c r="B452" s="16" t="n"/>
      <c r="C452" s="15" t="n"/>
      <c r="D452" s="16" t="n"/>
      <c r="E452" s="20">
        <f>IF(OR(C452="",D452=""),"",C452+D452)</f>
        <v/>
      </c>
      <c r="F452" s="18" t="n"/>
      <c r="G452" s="6">
        <f>IF(A452="","",SUMIFS(Income!$E$5:$E$504,Income!$C$5:$C$504,A452))</f>
        <v/>
      </c>
      <c r="H452" s="6">
        <f>IF(OR(A452="",F452=""),"",F452-G452)</f>
        <v/>
      </c>
      <c r="I452">
        <f>IF(OR(A452="",F452=""),"",IF(H452&lt;=0.004,"Paid",IF(AND(E452&lt;&gt;"",TODAY()&gt;E452),"Overdue",IF(G452&gt;0,"Partial","Open"))))</f>
        <v/>
      </c>
      <c r="J452">
        <f>IF(I452="Overdue",TODAY()-E452,"")</f>
        <v/>
      </c>
    </row>
    <row r="453">
      <c r="A453" s="16" t="n"/>
      <c r="B453" s="16" t="n"/>
      <c r="C453" s="15" t="n"/>
      <c r="D453" s="16" t="n"/>
      <c r="E453" s="20">
        <f>IF(OR(C453="",D453=""),"",C453+D453)</f>
        <v/>
      </c>
      <c r="F453" s="18" t="n"/>
      <c r="G453" s="6">
        <f>IF(A453="","",SUMIFS(Income!$E$5:$E$504,Income!$C$5:$C$504,A453))</f>
        <v/>
      </c>
      <c r="H453" s="6">
        <f>IF(OR(A453="",F453=""),"",F453-G453)</f>
        <v/>
      </c>
      <c r="I453">
        <f>IF(OR(A453="",F453=""),"",IF(H453&lt;=0.004,"Paid",IF(AND(E453&lt;&gt;"",TODAY()&gt;E453),"Overdue",IF(G453&gt;0,"Partial","Open"))))</f>
        <v/>
      </c>
      <c r="J453">
        <f>IF(I453="Overdue",TODAY()-E453,"")</f>
        <v/>
      </c>
    </row>
    <row r="454">
      <c r="A454" s="16" t="n"/>
      <c r="B454" s="16" t="n"/>
      <c r="C454" s="15" t="n"/>
      <c r="D454" s="16" t="n"/>
      <c r="E454" s="20">
        <f>IF(OR(C454="",D454=""),"",C454+D454)</f>
        <v/>
      </c>
      <c r="F454" s="18" t="n"/>
      <c r="G454" s="6">
        <f>IF(A454="","",SUMIFS(Income!$E$5:$E$504,Income!$C$5:$C$504,A454))</f>
        <v/>
      </c>
      <c r="H454" s="6">
        <f>IF(OR(A454="",F454=""),"",F454-G454)</f>
        <v/>
      </c>
      <c r="I454">
        <f>IF(OR(A454="",F454=""),"",IF(H454&lt;=0.004,"Paid",IF(AND(E454&lt;&gt;"",TODAY()&gt;E454),"Overdue",IF(G454&gt;0,"Partial","Open"))))</f>
        <v/>
      </c>
      <c r="J454">
        <f>IF(I454="Overdue",TODAY()-E454,"")</f>
        <v/>
      </c>
    </row>
    <row r="455">
      <c r="A455" s="16" t="n"/>
      <c r="B455" s="16" t="n"/>
      <c r="C455" s="15" t="n"/>
      <c r="D455" s="16" t="n"/>
      <c r="E455" s="20">
        <f>IF(OR(C455="",D455=""),"",C455+D455)</f>
        <v/>
      </c>
      <c r="F455" s="18" t="n"/>
      <c r="G455" s="6">
        <f>IF(A455="","",SUMIFS(Income!$E$5:$E$504,Income!$C$5:$C$504,A455))</f>
        <v/>
      </c>
      <c r="H455" s="6">
        <f>IF(OR(A455="",F455=""),"",F455-G455)</f>
        <v/>
      </c>
      <c r="I455">
        <f>IF(OR(A455="",F455=""),"",IF(H455&lt;=0.004,"Paid",IF(AND(E455&lt;&gt;"",TODAY()&gt;E455),"Overdue",IF(G455&gt;0,"Partial","Open"))))</f>
        <v/>
      </c>
      <c r="J455">
        <f>IF(I455="Overdue",TODAY()-E455,"")</f>
        <v/>
      </c>
    </row>
    <row r="456">
      <c r="A456" s="16" t="n"/>
      <c r="B456" s="16" t="n"/>
      <c r="C456" s="15" t="n"/>
      <c r="D456" s="16" t="n"/>
      <c r="E456" s="20">
        <f>IF(OR(C456="",D456=""),"",C456+D456)</f>
        <v/>
      </c>
      <c r="F456" s="18" t="n"/>
      <c r="G456" s="6">
        <f>IF(A456="","",SUMIFS(Income!$E$5:$E$504,Income!$C$5:$C$504,A456))</f>
        <v/>
      </c>
      <c r="H456" s="6">
        <f>IF(OR(A456="",F456=""),"",F456-G456)</f>
        <v/>
      </c>
      <c r="I456">
        <f>IF(OR(A456="",F456=""),"",IF(H456&lt;=0.004,"Paid",IF(AND(E456&lt;&gt;"",TODAY()&gt;E456),"Overdue",IF(G456&gt;0,"Partial","Open"))))</f>
        <v/>
      </c>
      <c r="J456">
        <f>IF(I456="Overdue",TODAY()-E456,"")</f>
        <v/>
      </c>
    </row>
    <row r="457">
      <c r="A457" s="16" t="n"/>
      <c r="B457" s="16" t="n"/>
      <c r="C457" s="15" t="n"/>
      <c r="D457" s="16" t="n"/>
      <c r="E457" s="20">
        <f>IF(OR(C457="",D457=""),"",C457+D457)</f>
        <v/>
      </c>
      <c r="F457" s="18" t="n"/>
      <c r="G457" s="6">
        <f>IF(A457="","",SUMIFS(Income!$E$5:$E$504,Income!$C$5:$C$504,A457))</f>
        <v/>
      </c>
      <c r="H457" s="6">
        <f>IF(OR(A457="",F457=""),"",F457-G457)</f>
        <v/>
      </c>
      <c r="I457">
        <f>IF(OR(A457="",F457=""),"",IF(H457&lt;=0.004,"Paid",IF(AND(E457&lt;&gt;"",TODAY()&gt;E457),"Overdue",IF(G457&gt;0,"Partial","Open"))))</f>
        <v/>
      </c>
      <c r="J457">
        <f>IF(I457="Overdue",TODAY()-E457,"")</f>
        <v/>
      </c>
    </row>
    <row r="458">
      <c r="A458" s="16" t="n"/>
      <c r="B458" s="16" t="n"/>
      <c r="C458" s="15" t="n"/>
      <c r="D458" s="16" t="n"/>
      <c r="E458" s="20">
        <f>IF(OR(C458="",D458=""),"",C458+D458)</f>
        <v/>
      </c>
      <c r="F458" s="18" t="n"/>
      <c r="G458" s="6">
        <f>IF(A458="","",SUMIFS(Income!$E$5:$E$504,Income!$C$5:$C$504,A458))</f>
        <v/>
      </c>
      <c r="H458" s="6">
        <f>IF(OR(A458="",F458=""),"",F458-G458)</f>
        <v/>
      </c>
      <c r="I458">
        <f>IF(OR(A458="",F458=""),"",IF(H458&lt;=0.004,"Paid",IF(AND(E458&lt;&gt;"",TODAY()&gt;E458),"Overdue",IF(G458&gt;0,"Partial","Open"))))</f>
        <v/>
      </c>
      <c r="J458">
        <f>IF(I458="Overdue",TODAY()-E458,"")</f>
        <v/>
      </c>
    </row>
    <row r="459">
      <c r="A459" s="16" t="n"/>
      <c r="B459" s="16" t="n"/>
      <c r="C459" s="15" t="n"/>
      <c r="D459" s="16" t="n"/>
      <c r="E459" s="20">
        <f>IF(OR(C459="",D459=""),"",C459+D459)</f>
        <v/>
      </c>
      <c r="F459" s="18" t="n"/>
      <c r="G459" s="6">
        <f>IF(A459="","",SUMIFS(Income!$E$5:$E$504,Income!$C$5:$C$504,A459))</f>
        <v/>
      </c>
      <c r="H459" s="6">
        <f>IF(OR(A459="",F459=""),"",F459-G459)</f>
        <v/>
      </c>
      <c r="I459">
        <f>IF(OR(A459="",F459=""),"",IF(H459&lt;=0.004,"Paid",IF(AND(E459&lt;&gt;"",TODAY()&gt;E459),"Overdue",IF(G459&gt;0,"Partial","Open"))))</f>
        <v/>
      </c>
      <c r="J459">
        <f>IF(I459="Overdue",TODAY()-E459,"")</f>
        <v/>
      </c>
    </row>
    <row r="460">
      <c r="A460" s="16" t="n"/>
      <c r="B460" s="16" t="n"/>
      <c r="C460" s="15" t="n"/>
      <c r="D460" s="16" t="n"/>
      <c r="E460" s="20">
        <f>IF(OR(C460="",D460=""),"",C460+D460)</f>
        <v/>
      </c>
      <c r="F460" s="18" t="n"/>
      <c r="G460" s="6">
        <f>IF(A460="","",SUMIFS(Income!$E$5:$E$504,Income!$C$5:$C$504,A460))</f>
        <v/>
      </c>
      <c r="H460" s="6">
        <f>IF(OR(A460="",F460=""),"",F460-G460)</f>
        <v/>
      </c>
      <c r="I460">
        <f>IF(OR(A460="",F460=""),"",IF(H460&lt;=0.004,"Paid",IF(AND(E460&lt;&gt;"",TODAY()&gt;E460),"Overdue",IF(G460&gt;0,"Partial","Open"))))</f>
        <v/>
      </c>
      <c r="J460">
        <f>IF(I460="Overdue",TODAY()-E460,"")</f>
        <v/>
      </c>
    </row>
    <row r="461">
      <c r="A461" s="16" t="n"/>
      <c r="B461" s="16" t="n"/>
      <c r="C461" s="15" t="n"/>
      <c r="D461" s="16" t="n"/>
      <c r="E461" s="20">
        <f>IF(OR(C461="",D461=""),"",C461+D461)</f>
        <v/>
      </c>
      <c r="F461" s="18" t="n"/>
      <c r="G461" s="6">
        <f>IF(A461="","",SUMIFS(Income!$E$5:$E$504,Income!$C$5:$C$504,A461))</f>
        <v/>
      </c>
      <c r="H461" s="6">
        <f>IF(OR(A461="",F461=""),"",F461-G461)</f>
        <v/>
      </c>
      <c r="I461">
        <f>IF(OR(A461="",F461=""),"",IF(H461&lt;=0.004,"Paid",IF(AND(E461&lt;&gt;"",TODAY()&gt;E461),"Overdue",IF(G461&gt;0,"Partial","Open"))))</f>
        <v/>
      </c>
      <c r="J461">
        <f>IF(I461="Overdue",TODAY()-E461,"")</f>
        <v/>
      </c>
    </row>
    <row r="462">
      <c r="A462" s="16" t="n"/>
      <c r="B462" s="16" t="n"/>
      <c r="C462" s="15" t="n"/>
      <c r="D462" s="16" t="n"/>
      <c r="E462" s="20">
        <f>IF(OR(C462="",D462=""),"",C462+D462)</f>
        <v/>
      </c>
      <c r="F462" s="18" t="n"/>
      <c r="G462" s="6">
        <f>IF(A462="","",SUMIFS(Income!$E$5:$E$504,Income!$C$5:$C$504,A462))</f>
        <v/>
      </c>
      <c r="H462" s="6">
        <f>IF(OR(A462="",F462=""),"",F462-G462)</f>
        <v/>
      </c>
      <c r="I462">
        <f>IF(OR(A462="",F462=""),"",IF(H462&lt;=0.004,"Paid",IF(AND(E462&lt;&gt;"",TODAY()&gt;E462),"Overdue",IF(G462&gt;0,"Partial","Open"))))</f>
        <v/>
      </c>
      <c r="J462">
        <f>IF(I462="Overdue",TODAY()-E462,"")</f>
        <v/>
      </c>
    </row>
    <row r="463">
      <c r="A463" s="16" t="n"/>
      <c r="B463" s="16" t="n"/>
      <c r="C463" s="15" t="n"/>
      <c r="D463" s="16" t="n"/>
      <c r="E463" s="20">
        <f>IF(OR(C463="",D463=""),"",C463+D463)</f>
        <v/>
      </c>
      <c r="F463" s="18" t="n"/>
      <c r="G463" s="6">
        <f>IF(A463="","",SUMIFS(Income!$E$5:$E$504,Income!$C$5:$C$504,A463))</f>
        <v/>
      </c>
      <c r="H463" s="6">
        <f>IF(OR(A463="",F463=""),"",F463-G463)</f>
        <v/>
      </c>
      <c r="I463">
        <f>IF(OR(A463="",F463=""),"",IF(H463&lt;=0.004,"Paid",IF(AND(E463&lt;&gt;"",TODAY()&gt;E463),"Overdue",IF(G463&gt;0,"Partial","Open"))))</f>
        <v/>
      </c>
      <c r="J463">
        <f>IF(I463="Overdue",TODAY()-E463,"")</f>
        <v/>
      </c>
    </row>
    <row r="464">
      <c r="A464" s="16" t="n"/>
      <c r="B464" s="16" t="n"/>
      <c r="C464" s="15" t="n"/>
      <c r="D464" s="16" t="n"/>
      <c r="E464" s="20">
        <f>IF(OR(C464="",D464=""),"",C464+D464)</f>
        <v/>
      </c>
      <c r="F464" s="18" t="n"/>
      <c r="G464" s="6">
        <f>IF(A464="","",SUMIFS(Income!$E$5:$E$504,Income!$C$5:$C$504,A464))</f>
        <v/>
      </c>
      <c r="H464" s="6">
        <f>IF(OR(A464="",F464=""),"",F464-G464)</f>
        <v/>
      </c>
      <c r="I464">
        <f>IF(OR(A464="",F464=""),"",IF(H464&lt;=0.004,"Paid",IF(AND(E464&lt;&gt;"",TODAY()&gt;E464),"Overdue",IF(G464&gt;0,"Partial","Open"))))</f>
        <v/>
      </c>
      <c r="J464">
        <f>IF(I464="Overdue",TODAY()-E464,"")</f>
        <v/>
      </c>
    </row>
    <row r="465">
      <c r="A465" s="16" t="n"/>
      <c r="B465" s="16" t="n"/>
      <c r="C465" s="15" t="n"/>
      <c r="D465" s="16" t="n"/>
      <c r="E465" s="20">
        <f>IF(OR(C465="",D465=""),"",C465+D465)</f>
        <v/>
      </c>
      <c r="F465" s="18" t="n"/>
      <c r="G465" s="6">
        <f>IF(A465="","",SUMIFS(Income!$E$5:$E$504,Income!$C$5:$C$504,A465))</f>
        <v/>
      </c>
      <c r="H465" s="6">
        <f>IF(OR(A465="",F465=""),"",F465-G465)</f>
        <v/>
      </c>
      <c r="I465">
        <f>IF(OR(A465="",F465=""),"",IF(H465&lt;=0.004,"Paid",IF(AND(E465&lt;&gt;"",TODAY()&gt;E465),"Overdue",IF(G465&gt;0,"Partial","Open"))))</f>
        <v/>
      </c>
      <c r="J465">
        <f>IF(I465="Overdue",TODAY()-E465,"")</f>
        <v/>
      </c>
    </row>
    <row r="466">
      <c r="A466" s="16" t="n"/>
      <c r="B466" s="16" t="n"/>
      <c r="C466" s="15" t="n"/>
      <c r="D466" s="16" t="n"/>
      <c r="E466" s="20">
        <f>IF(OR(C466="",D466=""),"",C466+D466)</f>
        <v/>
      </c>
      <c r="F466" s="18" t="n"/>
      <c r="G466" s="6">
        <f>IF(A466="","",SUMIFS(Income!$E$5:$E$504,Income!$C$5:$C$504,A466))</f>
        <v/>
      </c>
      <c r="H466" s="6">
        <f>IF(OR(A466="",F466=""),"",F466-G466)</f>
        <v/>
      </c>
      <c r="I466">
        <f>IF(OR(A466="",F466=""),"",IF(H466&lt;=0.004,"Paid",IF(AND(E466&lt;&gt;"",TODAY()&gt;E466),"Overdue",IF(G466&gt;0,"Partial","Open"))))</f>
        <v/>
      </c>
      <c r="J466">
        <f>IF(I466="Overdue",TODAY()-E466,"")</f>
        <v/>
      </c>
    </row>
    <row r="467">
      <c r="A467" s="16" t="n"/>
      <c r="B467" s="16" t="n"/>
      <c r="C467" s="15" t="n"/>
      <c r="D467" s="16" t="n"/>
      <c r="E467" s="20">
        <f>IF(OR(C467="",D467=""),"",C467+D467)</f>
        <v/>
      </c>
      <c r="F467" s="18" t="n"/>
      <c r="G467" s="6">
        <f>IF(A467="","",SUMIFS(Income!$E$5:$E$504,Income!$C$5:$C$504,A467))</f>
        <v/>
      </c>
      <c r="H467" s="6">
        <f>IF(OR(A467="",F467=""),"",F467-G467)</f>
        <v/>
      </c>
      <c r="I467">
        <f>IF(OR(A467="",F467=""),"",IF(H467&lt;=0.004,"Paid",IF(AND(E467&lt;&gt;"",TODAY()&gt;E467),"Overdue",IF(G467&gt;0,"Partial","Open"))))</f>
        <v/>
      </c>
      <c r="J467">
        <f>IF(I467="Overdue",TODAY()-E467,"")</f>
        <v/>
      </c>
    </row>
    <row r="468">
      <c r="A468" s="16" t="n"/>
      <c r="B468" s="16" t="n"/>
      <c r="C468" s="15" t="n"/>
      <c r="D468" s="16" t="n"/>
      <c r="E468" s="20">
        <f>IF(OR(C468="",D468=""),"",C468+D468)</f>
        <v/>
      </c>
      <c r="F468" s="18" t="n"/>
      <c r="G468" s="6">
        <f>IF(A468="","",SUMIFS(Income!$E$5:$E$504,Income!$C$5:$C$504,A468))</f>
        <v/>
      </c>
      <c r="H468" s="6">
        <f>IF(OR(A468="",F468=""),"",F468-G468)</f>
        <v/>
      </c>
      <c r="I468">
        <f>IF(OR(A468="",F468=""),"",IF(H468&lt;=0.004,"Paid",IF(AND(E468&lt;&gt;"",TODAY()&gt;E468),"Overdue",IF(G468&gt;0,"Partial","Open"))))</f>
        <v/>
      </c>
      <c r="J468">
        <f>IF(I468="Overdue",TODAY()-E468,"")</f>
        <v/>
      </c>
    </row>
    <row r="469">
      <c r="A469" s="16" t="n"/>
      <c r="B469" s="16" t="n"/>
      <c r="C469" s="15" t="n"/>
      <c r="D469" s="16" t="n"/>
      <c r="E469" s="20">
        <f>IF(OR(C469="",D469=""),"",C469+D469)</f>
        <v/>
      </c>
      <c r="F469" s="18" t="n"/>
      <c r="G469" s="6">
        <f>IF(A469="","",SUMIFS(Income!$E$5:$E$504,Income!$C$5:$C$504,A469))</f>
        <v/>
      </c>
      <c r="H469" s="6">
        <f>IF(OR(A469="",F469=""),"",F469-G469)</f>
        <v/>
      </c>
      <c r="I469">
        <f>IF(OR(A469="",F469=""),"",IF(H469&lt;=0.004,"Paid",IF(AND(E469&lt;&gt;"",TODAY()&gt;E469),"Overdue",IF(G469&gt;0,"Partial","Open"))))</f>
        <v/>
      </c>
      <c r="J469">
        <f>IF(I469="Overdue",TODAY()-E469,"")</f>
        <v/>
      </c>
    </row>
    <row r="470">
      <c r="A470" s="16" t="n"/>
      <c r="B470" s="16" t="n"/>
      <c r="C470" s="15" t="n"/>
      <c r="D470" s="16" t="n"/>
      <c r="E470" s="20">
        <f>IF(OR(C470="",D470=""),"",C470+D470)</f>
        <v/>
      </c>
      <c r="F470" s="18" t="n"/>
      <c r="G470" s="6">
        <f>IF(A470="","",SUMIFS(Income!$E$5:$E$504,Income!$C$5:$C$504,A470))</f>
        <v/>
      </c>
      <c r="H470" s="6">
        <f>IF(OR(A470="",F470=""),"",F470-G470)</f>
        <v/>
      </c>
      <c r="I470">
        <f>IF(OR(A470="",F470=""),"",IF(H470&lt;=0.004,"Paid",IF(AND(E470&lt;&gt;"",TODAY()&gt;E470),"Overdue",IF(G470&gt;0,"Partial","Open"))))</f>
        <v/>
      </c>
      <c r="J470">
        <f>IF(I470="Overdue",TODAY()-E470,"")</f>
        <v/>
      </c>
    </row>
    <row r="471">
      <c r="A471" s="16" t="n"/>
      <c r="B471" s="16" t="n"/>
      <c r="C471" s="15" t="n"/>
      <c r="D471" s="16" t="n"/>
      <c r="E471" s="20">
        <f>IF(OR(C471="",D471=""),"",C471+D471)</f>
        <v/>
      </c>
      <c r="F471" s="18" t="n"/>
      <c r="G471" s="6">
        <f>IF(A471="","",SUMIFS(Income!$E$5:$E$504,Income!$C$5:$C$504,A471))</f>
        <v/>
      </c>
      <c r="H471" s="6">
        <f>IF(OR(A471="",F471=""),"",F471-G471)</f>
        <v/>
      </c>
      <c r="I471">
        <f>IF(OR(A471="",F471=""),"",IF(H471&lt;=0.004,"Paid",IF(AND(E471&lt;&gt;"",TODAY()&gt;E471),"Overdue",IF(G471&gt;0,"Partial","Open"))))</f>
        <v/>
      </c>
      <c r="J471">
        <f>IF(I471="Overdue",TODAY()-E471,"")</f>
        <v/>
      </c>
    </row>
    <row r="472">
      <c r="A472" s="16" t="n"/>
      <c r="B472" s="16" t="n"/>
      <c r="C472" s="15" t="n"/>
      <c r="D472" s="16" t="n"/>
      <c r="E472" s="20">
        <f>IF(OR(C472="",D472=""),"",C472+D472)</f>
        <v/>
      </c>
      <c r="F472" s="18" t="n"/>
      <c r="G472" s="6">
        <f>IF(A472="","",SUMIFS(Income!$E$5:$E$504,Income!$C$5:$C$504,A472))</f>
        <v/>
      </c>
      <c r="H472" s="6">
        <f>IF(OR(A472="",F472=""),"",F472-G472)</f>
        <v/>
      </c>
      <c r="I472">
        <f>IF(OR(A472="",F472=""),"",IF(H472&lt;=0.004,"Paid",IF(AND(E472&lt;&gt;"",TODAY()&gt;E472),"Overdue",IF(G472&gt;0,"Partial","Open"))))</f>
        <v/>
      </c>
      <c r="J472">
        <f>IF(I472="Overdue",TODAY()-E472,"")</f>
        <v/>
      </c>
    </row>
    <row r="473">
      <c r="A473" s="16" t="n"/>
      <c r="B473" s="16" t="n"/>
      <c r="C473" s="15" t="n"/>
      <c r="D473" s="16" t="n"/>
      <c r="E473" s="20">
        <f>IF(OR(C473="",D473=""),"",C473+D473)</f>
        <v/>
      </c>
      <c r="F473" s="18" t="n"/>
      <c r="G473" s="6">
        <f>IF(A473="","",SUMIFS(Income!$E$5:$E$504,Income!$C$5:$C$504,A473))</f>
        <v/>
      </c>
      <c r="H473" s="6">
        <f>IF(OR(A473="",F473=""),"",F473-G473)</f>
        <v/>
      </c>
      <c r="I473">
        <f>IF(OR(A473="",F473=""),"",IF(H473&lt;=0.004,"Paid",IF(AND(E473&lt;&gt;"",TODAY()&gt;E473),"Overdue",IF(G473&gt;0,"Partial","Open"))))</f>
        <v/>
      </c>
      <c r="J473">
        <f>IF(I473="Overdue",TODAY()-E473,"")</f>
        <v/>
      </c>
    </row>
    <row r="474">
      <c r="A474" s="16" t="n"/>
      <c r="B474" s="16" t="n"/>
      <c r="C474" s="15" t="n"/>
      <c r="D474" s="16" t="n"/>
      <c r="E474" s="20">
        <f>IF(OR(C474="",D474=""),"",C474+D474)</f>
        <v/>
      </c>
      <c r="F474" s="18" t="n"/>
      <c r="G474" s="6">
        <f>IF(A474="","",SUMIFS(Income!$E$5:$E$504,Income!$C$5:$C$504,A474))</f>
        <v/>
      </c>
      <c r="H474" s="6">
        <f>IF(OR(A474="",F474=""),"",F474-G474)</f>
        <v/>
      </c>
      <c r="I474">
        <f>IF(OR(A474="",F474=""),"",IF(H474&lt;=0.004,"Paid",IF(AND(E474&lt;&gt;"",TODAY()&gt;E474),"Overdue",IF(G474&gt;0,"Partial","Open"))))</f>
        <v/>
      </c>
      <c r="J474">
        <f>IF(I474="Overdue",TODAY()-E474,"")</f>
        <v/>
      </c>
    </row>
    <row r="475">
      <c r="A475" s="16" t="n"/>
      <c r="B475" s="16" t="n"/>
      <c r="C475" s="15" t="n"/>
      <c r="D475" s="16" t="n"/>
      <c r="E475" s="20">
        <f>IF(OR(C475="",D475=""),"",C475+D475)</f>
        <v/>
      </c>
      <c r="F475" s="18" t="n"/>
      <c r="G475" s="6">
        <f>IF(A475="","",SUMIFS(Income!$E$5:$E$504,Income!$C$5:$C$504,A475))</f>
        <v/>
      </c>
      <c r="H475" s="6">
        <f>IF(OR(A475="",F475=""),"",F475-G475)</f>
        <v/>
      </c>
      <c r="I475">
        <f>IF(OR(A475="",F475=""),"",IF(H475&lt;=0.004,"Paid",IF(AND(E475&lt;&gt;"",TODAY()&gt;E475),"Overdue",IF(G475&gt;0,"Partial","Open"))))</f>
        <v/>
      </c>
      <c r="J475">
        <f>IF(I475="Overdue",TODAY()-E475,"")</f>
        <v/>
      </c>
    </row>
    <row r="476">
      <c r="A476" s="16" t="n"/>
      <c r="B476" s="16" t="n"/>
      <c r="C476" s="15" t="n"/>
      <c r="D476" s="16" t="n"/>
      <c r="E476" s="20">
        <f>IF(OR(C476="",D476=""),"",C476+D476)</f>
        <v/>
      </c>
      <c r="F476" s="18" t="n"/>
      <c r="G476" s="6">
        <f>IF(A476="","",SUMIFS(Income!$E$5:$E$504,Income!$C$5:$C$504,A476))</f>
        <v/>
      </c>
      <c r="H476" s="6">
        <f>IF(OR(A476="",F476=""),"",F476-G476)</f>
        <v/>
      </c>
      <c r="I476">
        <f>IF(OR(A476="",F476=""),"",IF(H476&lt;=0.004,"Paid",IF(AND(E476&lt;&gt;"",TODAY()&gt;E476),"Overdue",IF(G476&gt;0,"Partial","Open"))))</f>
        <v/>
      </c>
      <c r="J476">
        <f>IF(I476="Overdue",TODAY()-E476,"")</f>
        <v/>
      </c>
    </row>
    <row r="477">
      <c r="A477" s="16" t="n"/>
      <c r="B477" s="16" t="n"/>
      <c r="C477" s="15" t="n"/>
      <c r="D477" s="16" t="n"/>
      <c r="E477" s="20">
        <f>IF(OR(C477="",D477=""),"",C477+D477)</f>
        <v/>
      </c>
      <c r="F477" s="18" t="n"/>
      <c r="G477" s="6">
        <f>IF(A477="","",SUMIFS(Income!$E$5:$E$504,Income!$C$5:$C$504,A477))</f>
        <v/>
      </c>
      <c r="H477" s="6">
        <f>IF(OR(A477="",F477=""),"",F477-G477)</f>
        <v/>
      </c>
      <c r="I477">
        <f>IF(OR(A477="",F477=""),"",IF(H477&lt;=0.004,"Paid",IF(AND(E477&lt;&gt;"",TODAY()&gt;E477),"Overdue",IF(G477&gt;0,"Partial","Open"))))</f>
        <v/>
      </c>
      <c r="J477">
        <f>IF(I477="Overdue",TODAY()-E477,"")</f>
        <v/>
      </c>
    </row>
    <row r="478">
      <c r="A478" s="16" t="n"/>
      <c r="B478" s="16" t="n"/>
      <c r="C478" s="15" t="n"/>
      <c r="D478" s="16" t="n"/>
      <c r="E478" s="20">
        <f>IF(OR(C478="",D478=""),"",C478+D478)</f>
        <v/>
      </c>
      <c r="F478" s="18" t="n"/>
      <c r="G478" s="6">
        <f>IF(A478="","",SUMIFS(Income!$E$5:$E$504,Income!$C$5:$C$504,A478))</f>
        <v/>
      </c>
      <c r="H478" s="6">
        <f>IF(OR(A478="",F478=""),"",F478-G478)</f>
        <v/>
      </c>
      <c r="I478">
        <f>IF(OR(A478="",F478=""),"",IF(H478&lt;=0.004,"Paid",IF(AND(E478&lt;&gt;"",TODAY()&gt;E478),"Overdue",IF(G478&gt;0,"Partial","Open"))))</f>
        <v/>
      </c>
      <c r="J478">
        <f>IF(I478="Overdue",TODAY()-E478,"")</f>
        <v/>
      </c>
    </row>
    <row r="479">
      <c r="A479" s="16" t="n"/>
      <c r="B479" s="16" t="n"/>
      <c r="C479" s="15" t="n"/>
      <c r="D479" s="16" t="n"/>
      <c r="E479" s="20">
        <f>IF(OR(C479="",D479=""),"",C479+D479)</f>
        <v/>
      </c>
      <c r="F479" s="18" t="n"/>
      <c r="G479" s="6">
        <f>IF(A479="","",SUMIFS(Income!$E$5:$E$504,Income!$C$5:$C$504,A479))</f>
        <v/>
      </c>
      <c r="H479" s="6">
        <f>IF(OR(A479="",F479=""),"",F479-G479)</f>
        <v/>
      </c>
      <c r="I479">
        <f>IF(OR(A479="",F479=""),"",IF(H479&lt;=0.004,"Paid",IF(AND(E479&lt;&gt;"",TODAY()&gt;E479),"Overdue",IF(G479&gt;0,"Partial","Open"))))</f>
        <v/>
      </c>
      <c r="J479">
        <f>IF(I479="Overdue",TODAY()-E479,"")</f>
        <v/>
      </c>
    </row>
    <row r="480">
      <c r="A480" s="16" t="n"/>
      <c r="B480" s="16" t="n"/>
      <c r="C480" s="15" t="n"/>
      <c r="D480" s="16" t="n"/>
      <c r="E480" s="20">
        <f>IF(OR(C480="",D480=""),"",C480+D480)</f>
        <v/>
      </c>
      <c r="F480" s="18" t="n"/>
      <c r="G480" s="6">
        <f>IF(A480="","",SUMIFS(Income!$E$5:$E$504,Income!$C$5:$C$504,A480))</f>
        <v/>
      </c>
      <c r="H480" s="6">
        <f>IF(OR(A480="",F480=""),"",F480-G480)</f>
        <v/>
      </c>
      <c r="I480">
        <f>IF(OR(A480="",F480=""),"",IF(H480&lt;=0.004,"Paid",IF(AND(E480&lt;&gt;"",TODAY()&gt;E480),"Overdue",IF(G480&gt;0,"Partial","Open"))))</f>
        <v/>
      </c>
      <c r="J480">
        <f>IF(I480="Overdue",TODAY()-E480,"")</f>
        <v/>
      </c>
    </row>
    <row r="481">
      <c r="A481" s="16" t="n"/>
      <c r="B481" s="16" t="n"/>
      <c r="C481" s="15" t="n"/>
      <c r="D481" s="16" t="n"/>
      <c r="E481" s="20">
        <f>IF(OR(C481="",D481=""),"",C481+D481)</f>
        <v/>
      </c>
      <c r="F481" s="18" t="n"/>
      <c r="G481" s="6">
        <f>IF(A481="","",SUMIFS(Income!$E$5:$E$504,Income!$C$5:$C$504,A481))</f>
        <v/>
      </c>
      <c r="H481" s="6">
        <f>IF(OR(A481="",F481=""),"",F481-G481)</f>
        <v/>
      </c>
      <c r="I481">
        <f>IF(OR(A481="",F481=""),"",IF(H481&lt;=0.004,"Paid",IF(AND(E481&lt;&gt;"",TODAY()&gt;E481),"Overdue",IF(G481&gt;0,"Partial","Open"))))</f>
        <v/>
      </c>
      <c r="J481">
        <f>IF(I481="Overdue",TODAY()-E481,"")</f>
        <v/>
      </c>
    </row>
    <row r="482">
      <c r="A482" s="16" t="n"/>
      <c r="B482" s="16" t="n"/>
      <c r="C482" s="15" t="n"/>
      <c r="D482" s="16" t="n"/>
      <c r="E482" s="20">
        <f>IF(OR(C482="",D482=""),"",C482+D482)</f>
        <v/>
      </c>
      <c r="F482" s="18" t="n"/>
      <c r="G482" s="6">
        <f>IF(A482="","",SUMIFS(Income!$E$5:$E$504,Income!$C$5:$C$504,A482))</f>
        <v/>
      </c>
      <c r="H482" s="6">
        <f>IF(OR(A482="",F482=""),"",F482-G482)</f>
        <v/>
      </c>
      <c r="I482">
        <f>IF(OR(A482="",F482=""),"",IF(H482&lt;=0.004,"Paid",IF(AND(E482&lt;&gt;"",TODAY()&gt;E482),"Overdue",IF(G482&gt;0,"Partial","Open"))))</f>
        <v/>
      </c>
      <c r="J482">
        <f>IF(I482="Overdue",TODAY()-E482,"")</f>
        <v/>
      </c>
    </row>
    <row r="483">
      <c r="A483" s="16" t="n"/>
      <c r="B483" s="16" t="n"/>
      <c r="C483" s="15" t="n"/>
      <c r="D483" s="16" t="n"/>
      <c r="E483" s="20">
        <f>IF(OR(C483="",D483=""),"",C483+D483)</f>
        <v/>
      </c>
      <c r="F483" s="18" t="n"/>
      <c r="G483" s="6">
        <f>IF(A483="","",SUMIFS(Income!$E$5:$E$504,Income!$C$5:$C$504,A483))</f>
        <v/>
      </c>
      <c r="H483" s="6">
        <f>IF(OR(A483="",F483=""),"",F483-G483)</f>
        <v/>
      </c>
      <c r="I483">
        <f>IF(OR(A483="",F483=""),"",IF(H483&lt;=0.004,"Paid",IF(AND(E483&lt;&gt;"",TODAY()&gt;E483),"Overdue",IF(G483&gt;0,"Partial","Open"))))</f>
        <v/>
      </c>
      <c r="J483">
        <f>IF(I483="Overdue",TODAY()-E483,"")</f>
        <v/>
      </c>
    </row>
    <row r="484">
      <c r="A484" s="16" t="n"/>
      <c r="B484" s="16" t="n"/>
      <c r="C484" s="15" t="n"/>
      <c r="D484" s="16" t="n"/>
      <c r="E484" s="20">
        <f>IF(OR(C484="",D484=""),"",C484+D484)</f>
        <v/>
      </c>
      <c r="F484" s="18" t="n"/>
      <c r="G484" s="6">
        <f>IF(A484="","",SUMIFS(Income!$E$5:$E$504,Income!$C$5:$C$504,A484))</f>
        <v/>
      </c>
      <c r="H484" s="6">
        <f>IF(OR(A484="",F484=""),"",F484-G484)</f>
        <v/>
      </c>
      <c r="I484">
        <f>IF(OR(A484="",F484=""),"",IF(H484&lt;=0.004,"Paid",IF(AND(E484&lt;&gt;"",TODAY()&gt;E484),"Overdue",IF(G484&gt;0,"Partial","Open"))))</f>
        <v/>
      </c>
      <c r="J484">
        <f>IF(I484="Overdue",TODAY()-E484,"")</f>
        <v/>
      </c>
    </row>
    <row r="485">
      <c r="A485" s="16" t="n"/>
      <c r="B485" s="16" t="n"/>
      <c r="C485" s="15" t="n"/>
      <c r="D485" s="16" t="n"/>
      <c r="E485" s="20">
        <f>IF(OR(C485="",D485=""),"",C485+D485)</f>
        <v/>
      </c>
      <c r="F485" s="18" t="n"/>
      <c r="G485" s="6">
        <f>IF(A485="","",SUMIFS(Income!$E$5:$E$504,Income!$C$5:$C$504,A485))</f>
        <v/>
      </c>
      <c r="H485" s="6">
        <f>IF(OR(A485="",F485=""),"",F485-G485)</f>
        <v/>
      </c>
      <c r="I485">
        <f>IF(OR(A485="",F485=""),"",IF(H485&lt;=0.004,"Paid",IF(AND(E485&lt;&gt;"",TODAY()&gt;E485),"Overdue",IF(G485&gt;0,"Partial","Open"))))</f>
        <v/>
      </c>
      <c r="J485">
        <f>IF(I485="Overdue",TODAY()-E485,"")</f>
        <v/>
      </c>
    </row>
    <row r="486">
      <c r="A486" s="16" t="n"/>
      <c r="B486" s="16" t="n"/>
      <c r="C486" s="15" t="n"/>
      <c r="D486" s="16" t="n"/>
      <c r="E486" s="20">
        <f>IF(OR(C486="",D486=""),"",C486+D486)</f>
        <v/>
      </c>
      <c r="F486" s="18" t="n"/>
      <c r="G486" s="6">
        <f>IF(A486="","",SUMIFS(Income!$E$5:$E$504,Income!$C$5:$C$504,A486))</f>
        <v/>
      </c>
      <c r="H486" s="6">
        <f>IF(OR(A486="",F486=""),"",F486-G486)</f>
        <v/>
      </c>
      <c r="I486">
        <f>IF(OR(A486="",F486=""),"",IF(H486&lt;=0.004,"Paid",IF(AND(E486&lt;&gt;"",TODAY()&gt;E486),"Overdue",IF(G486&gt;0,"Partial","Open"))))</f>
        <v/>
      </c>
      <c r="J486">
        <f>IF(I486="Overdue",TODAY()-E486,"")</f>
        <v/>
      </c>
    </row>
    <row r="487">
      <c r="A487" s="16" t="n"/>
      <c r="B487" s="16" t="n"/>
      <c r="C487" s="15" t="n"/>
      <c r="D487" s="16" t="n"/>
      <c r="E487" s="20">
        <f>IF(OR(C487="",D487=""),"",C487+D487)</f>
        <v/>
      </c>
      <c r="F487" s="18" t="n"/>
      <c r="G487" s="6">
        <f>IF(A487="","",SUMIFS(Income!$E$5:$E$504,Income!$C$5:$C$504,A487))</f>
        <v/>
      </c>
      <c r="H487" s="6">
        <f>IF(OR(A487="",F487=""),"",F487-G487)</f>
        <v/>
      </c>
      <c r="I487">
        <f>IF(OR(A487="",F487=""),"",IF(H487&lt;=0.004,"Paid",IF(AND(E487&lt;&gt;"",TODAY()&gt;E487),"Overdue",IF(G487&gt;0,"Partial","Open"))))</f>
        <v/>
      </c>
      <c r="J487">
        <f>IF(I487="Overdue",TODAY()-E487,"")</f>
        <v/>
      </c>
    </row>
    <row r="488">
      <c r="A488" s="16" t="n"/>
      <c r="B488" s="16" t="n"/>
      <c r="C488" s="15" t="n"/>
      <c r="D488" s="16" t="n"/>
      <c r="E488" s="20">
        <f>IF(OR(C488="",D488=""),"",C488+D488)</f>
        <v/>
      </c>
      <c r="F488" s="18" t="n"/>
      <c r="G488" s="6">
        <f>IF(A488="","",SUMIFS(Income!$E$5:$E$504,Income!$C$5:$C$504,A488))</f>
        <v/>
      </c>
      <c r="H488" s="6">
        <f>IF(OR(A488="",F488=""),"",F488-G488)</f>
        <v/>
      </c>
      <c r="I488">
        <f>IF(OR(A488="",F488=""),"",IF(H488&lt;=0.004,"Paid",IF(AND(E488&lt;&gt;"",TODAY()&gt;E488),"Overdue",IF(G488&gt;0,"Partial","Open"))))</f>
        <v/>
      </c>
      <c r="J488">
        <f>IF(I488="Overdue",TODAY()-E488,"")</f>
        <v/>
      </c>
    </row>
    <row r="489">
      <c r="A489" s="16" t="n"/>
      <c r="B489" s="16" t="n"/>
      <c r="C489" s="15" t="n"/>
      <c r="D489" s="16" t="n"/>
      <c r="E489" s="20">
        <f>IF(OR(C489="",D489=""),"",C489+D489)</f>
        <v/>
      </c>
      <c r="F489" s="18" t="n"/>
      <c r="G489" s="6">
        <f>IF(A489="","",SUMIFS(Income!$E$5:$E$504,Income!$C$5:$C$504,A489))</f>
        <v/>
      </c>
      <c r="H489" s="6">
        <f>IF(OR(A489="",F489=""),"",F489-G489)</f>
        <v/>
      </c>
      <c r="I489">
        <f>IF(OR(A489="",F489=""),"",IF(H489&lt;=0.004,"Paid",IF(AND(E489&lt;&gt;"",TODAY()&gt;E489),"Overdue",IF(G489&gt;0,"Partial","Open"))))</f>
        <v/>
      </c>
      <c r="J489">
        <f>IF(I489="Overdue",TODAY()-E489,"")</f>
        <v/>
      </c>
    </row>
    <row r="490">
      <c r="A490" s="16" t="n"/>
      <c r="B490" s="16" t="n"/>
      <c r="C490" s="15" t="n"/>
      <c r="D490" s="16" t="n"/>
      <c r="E490" s="20">
        <f>IF(OR(C490="",D490=""),"",C490+D490)</f>
        <v/>
      </c>
      <c r="F490" s="18" t="n"/>
      <c r="G490" s="6">
        <f>IF(A490="","",SUMIFS(Income!$E$5:$E$504,Income!$C$5:$C$504,A490))</f>
        <v/>
      </c>
      <c r="H490" s="6">
        <f>IF(OR(A490="",F490=""),"",F490-G490)</f>
        <v/>
      </c>
      <c r="I490">
        <f>IF(OR(A490="",F490=""),"",IF(H490&lt;=0.004,"Paid",IF(AND(E490&lt;&gt;"",TODAY()&gt;E490),"Overdue",IF(G490&gt;0,"Partial","Open"))))</f>
        <v/>
      </c>
      <c r="J490">
        <f>IF(I490="Overdue",TODAY()-E490,"")</f>
        <v/>
      </c>
    </row>
    <row r="491">
      <c r="A491" s="16" t="n"/>
      <c r="B491" s="16" t="n"/>
      <c r="C491" s="15" t="n"/>
      <c r="D491" s="16" t="n"/>
      <c r="E491" s="20">
        <f>IF(OR(C491="",D491=""),"",C491+D491)</f>
        <v/>
      </c>
      <c r="F491" s="18" t="n"/>
      <c r="G491" s="6">
        <f>IF(A491="","",SUMIFS(Income!$E$5:$E$504,Income!$C$5:$C$504,A491))</f>
        <v/>
      </c>
      <c r="H491" s="6">
        <f>IF(OR(A491="",F491=""),"",F491-G491)</f>
        <v/>
      </c>
      <c r="I491">
        <f>IF(OR(A491="",F491=""),"",IF(H491&lt;=0.004,"Paid",IF(AND(E491&lt;&gt;"",TODAY()&gt;E491),"Overdue",IF(G491&gt;0,"Partial","Open"))))</f>
        <v/>
      </c>
      <c r="J491">
        <f>IF(I491="Overdue",TODAY()-E491,"")</f>
        <v/>
      </c>
    </row>
    <row r="492">
      <c r="A492" s="16" t="n"/>
      <c r="B492" s="16" t="n"/>
      <c r="C492" s="15" t="n"/>
      <c r="D492" s="16" t="n"/>
      <c r="E492" s="20">
        <f>IF(OR(C492="",D492=""),"",C492+D492)</f>
        <v/>
      </c>
      <c r="F492" s="18" t="n"/>
      <c r="G492" s="6">
        <f>IF(A492="","",SUMIFS(Income!$E$5:$E$504,Income!$C$5:$C$504,A492))</f>
        <v/>
      </c>
      <c r="H492" s="6">
        <f>IF(OR(A492="",F492=""),"",F492-G492)</f>
        <v/>
      </c>
      <c r="I492">
        <f>IF(OR(A492="",F492=""),"",IF(H492&lt;=0.004,"Paid",IF(AND(E492&lt;&gt;"",TODAY()&gt;E492),"Overdue",IF(G492&gt;0,"Partial","Open"))))</f>
        <v/>
      </c>
      <c r="J492">
        <f>IF(I492="Overdue",TODAY()-E492,"")</f>
        <v/>
      </c>
    </row>
    <row r="493">
      <c r="A493" s="16" t="n"/>
      <c r="B493" s="16" t="n"/>
      <c r="C493" s="15" t="n"/>
      <c r="D493" s="16" t="n"/>
      <c r="E493" s="20">
        <f>IF(OR(C493="",D493=""),"",C493+D493)</f>
        <v/>
      </c>
      <c r="F493" s="18" t="n"/>
      <c r="G493" s="6">
        <f>IF(A493="","",SUMIFS(Income!$E$5:$E$504,Income!$C$5:$C$504,A493))</f>
        <v/>
      </c>
      <c r="H493" s="6">
        <f>IF(OR(A493="",F493=""),"",F493-G493)</f>
        <v/>
      </c>
      <c r="I493">
        <f>IF(OR(A493="",F493=""),"",IF(H493&lt;=0.004,"Paid",IF(AND(E493&lt;&gt;"",TODAY()&gt;E493),"Overdue",IF(G493&gt;0,"Partial","Open"))))</f>
        <v/>
      </c>
      <c r="J493">
        <f>IF(I493="Overdue",TODAY()-E493,"")</f>
        <v/>
      </c>
    </row>
    <row r="494">
      <c r="A494" s="16" t="n"/>
      <c r="B494" s="16" t="n"/>
      <c r="C494" s="15" t="n"/>
      <c r="D494" s="16" t="n"/>
      <c r="E494" s="20">
        <f>IF(OR(C494="",D494=""),"",C494+D494)</f>
        <v/>
      </c>
      <c r="F494" s="18" t="n"/>
      <c r="G494" s="6">
        <f>IF(A494="","",SUMIFS(Income!$E$5:$E$504,Income!$C$5:$C$504,A494))</f>
        <v/>
      </c>
      <c r="H494" s="6">
        <f>IF(OR(A494="",F494=""),"",F494-G494)</f>
        <v/>
      </c>
      <c r="I494">
        <f>IF(OR(A494="",F494=""),"",IF(H494&lt;=0.004,"Paid",IF(AND(E494&lt;&gt;"",TODAY()&gt;E494),"Overdue",IF(G494&gt;0,"Partial","Open"))))</f>
        <v/>
      </c>
      <c r="J494">
        <f>IF(I494="Overdue",TODAY()-E494,"")</f>
        <v/>
      </c>
    </row>
    <row r="495">
      <c r="A495" s="16" t="n"/>
      <c r="B495" s="16" t="n"/>
      <c r="C495" s="15" t="n"/>
      <c r="D495" s="16" t="n"/>
      <c r="E495" s="20">
        <f>IF(OR(C495="",D495=""),"",C495+D495)</f>
        <v/>
      </c>
      <c r="F495" s="18" t="n"/>
      <c r="G495" s="6">
        <f>IF(A495="","",SUMIFS(Income!$E$5:$E$504,Income!$C$5:$C$504,A495))</f>
        <v/>
      </c>
      <c r="H495" s="6">
        <f>IF(OR(A495="",F495=""),"",F495-G495)</f>
        <v/>
      </c>
      <c r="I495">
        <f>IF(OR(A495="",F495=""),"",IF(H495&lt;=0.004,"Paid",IF(AND(E495&lt;&gt;"",TODAY()&gt;E495),"Overdue",IF(G495&gt;0,"Partial","Open"))))</f>
        <v/>
      </c>
      <c r="J495">
        <f>IF(I495="Overdue",TODAY()-E495,"")</f>
        <v/>
      </c>
    </row>
    <row r="496">
      <c r="A496" s="16" t="n"/>
      <c r="B496" s="16" t="n"/>
      <c r="C496" s="15" t="n"/>
      <c r="D496" s="16" t="n"/>
      <c r="E496" s="20">
        <f>IF(OR(C496="",D496=""),"",C496+D496)</f>
        <v/>
      </c>
      <c r="F496" s="18" t="n"/>
      <c r="G496" s="6">
        <f>IF(A496="","",SUMIFS(Income!$E$5:$E$504,Income!$C$5:$C$504,A496))</f>
        <v/>
      </c>
      <c r="H496" s="6">
        <f>IF(OR(A496="",F496=""),"",F496-G496)</f>
        <v/>
      </c>
      <c r="I496">
        <f>IF(OR(A496="",F496=""),"",IF(H496&lt;=0.004,"Paid",IF(AND(E496&lt;&gt;"",TODAY()&gt;E496),"Overdue",IF(G496&gt;0,"Partial","Open"))))</f>
        <v/>
      </c>
      <c r="J496">
        <f>IF(I496="Overdue",TODAY()-E496,"")</f>
        <v/>
      </c>
    </row>
    <row r="497">
      <c r="A497" s="16" t="n"/>
      <c r="B497" s="16" t="n"/>
      <c r="C497" s="15" t="n"/>
      <c r="D497" s="16" t="n"/>
      <c r="E497" s="20">
        <f>IF(OR(C497="",D497=""),"",C497+D497)</f>
        <v/>
      </c>
      <c r="F497" s="18" t="n"/>
      <c r="G497" s="6">
        <f>IF(A497="","",SUMIFS(Income!$E$5:$E$504,Income!$C$5:$C$504,A497))</f>
        <v/>
      </c>
      <c r="H497" s="6">
        <f>IF(OR(A497="",F497=""),"",F497-G497)</f>
        <v/>
      </c>
      <c r="I497">
        <f>IF(OR(A497="",F497=""),"",IF(H497&lt;=0.004,"Paid",IF(AND(E497&lt;&gt;"",TODAY()&gt;E497),"Overdue",IF(G497&gt;0,"Partial","Open"))))</f>
        <v/>
      </c>
      <c r="J497">
        <f>IF(I497="Overdue",TODAY()-E497,"")</f>
        <v/>
      </c>
    </row>
    <row r="498">
      <c r="A498" s="16" t="n"/>
      <c r="B498" s="16" t="n"/>
      <c r="C498" s="15" t="n"/>
      <c r="D498" s="16" t="n"/>
      <c r="E498" s="20">
        <f>IF(OR(C498="",D498=""),"",C498+D498)</f>
        <v/>
      </c>
      <c r="F498" s="18" t="n"/>
      <c r="G498" s="6">
        <f>IF(A498="","",SUMIFS(Income!$E$5:$E$504,Income!$C$5:$C$504,A498))</f>
        <v/>
      </c>
      <c r="H498" s="6">
        <f>IF(OR(A498="",F498=""),"",F498-G498)</f>
        <v/>
      </c>
      <c r="I498">
        <f>IF(OR(A498="",F498=""),"",IF(H498&lt;=0.004,"Paid",IF(AND(E498&lt;&gt;"",TODAY()&gt;E498),"Overdue",IF(G498&gt;0,"Partial","Open"))))</f>
        <v/>
      </c>
      <c r="J498">
        <f>IF(I498="Overdue",TODAY()-E498,"")</f>
        <v/>
      </c>
    </row>
    <row r="499">
      <c r="A499" s="16" t="n"/>
      <c r="B499" s="16" t="n"/>
      <c r="C499" s="15" t="n"/>
      <c r="D499" s="16" t="n"/>
      <c r="E499" s="20">
        <f>IF(OR(C499="",D499=""),"",C499+D499)</f>
        <v/>
      </c>
      <c r="F499" s="18" t="n"/>
      <c r="G499" s="6">
        <f>IF(A499="","",SUMIFS(Income!$E$5:$E$504,Income!$C$5:$C$504,A499))</f>
        <v/>
      </c>
      <c r="H499" s="6">
        <f>IF(OR(A499="",F499=""),"",F499-G499)</f>
        <v/>
      </c>
      <c r="I499">
        <f>IF(OR(A499="",F499=""),"",IF(H499&lt;=0.004,"Paid",IF(AND(E499&lt;&gt;"",TODAY()&gt;E499),"Overdue",IF(G499&gt;0,"Partial","Open"))))</f>
        <v/>
      </c>
      <c r="J499">
        <f>IF(I499="Overdue",TODAY()-E499,"")</f>
        <v/>
      </c>
    </row>
    <row r="500">
      <c r="A500" s="16" t="n"/>
      <c r="B500" s="16" t="n"/>
      <c r="C500" s="15" t="n"/>
      <c r="D500" s="16" t="n"/>
      <c r="E500" s="20">
        <f>IF(OR(C500="",D500=""),"",C500+D500)</f>
        <v/>
      </c>
      <c r="F500" s="18" t="n"/>
      <c r="G500" s="6">
        <f>IF(A500="","",SUMIFS(Income!$E$5:$E$504,Income!$C$5:$C$504,A500))</f>
        <v/>
      </c>
      <c r="H500" s="6">
        <f>IF(OR(A500="",F500=""),"",F500-G500)</f>
        <v/>
      </c>
      <c r="I500">
        <f>IF(OR(A500="",F500=""),"",IF(H500&lt;=0.004,"Paid",IF(AND(E500&lt;&gt;"",TODAY()&gt;E500),"Overdue",IF(G500&gt;0,"Partial","Open"))))</f>
        <v/>
      </c>
      <c r="J500">
        <f>IF(I500="Overdue",TODAY()-E500,"")</f>
        <v/>
      </c>
    </row>
    <row r="501">
      <c r="A501" s="16" t="n"/>
      <c r="B501" s="16" t="n"/>
      <c r="C501" s="15" t="n"/>
      <c r="D501" s="16" t="n"/>
      <c r="E501" s="20">
        <f>IF(OR(C501="",D501=""),"",C501+D501)</f>
        <v/>
      </c>
      <c r="F501" s="18" t="n"/>
      <c r="G501" s="6">
        <f>IF(A501="","",SUMIFS(Income!$E$5:$E$504,Income!$C$5:$C$504,A501))</f>
        <v/>
      </c>
      <c r="H501" s="6">
        <f>IF(OR(A501="",F501=""),"",F501-G501)</f>
        <v/>
      </c>
      <c r="I501">
        <f>IF(OR(A501="",F501=""),"",IF(H501&lt;=0.004,"Paid",IF(AND(E501&lt;&gt;"",TODAY()&gt;E501),"Overdue",IF(G501&gt;0,"Partial","Open"))))</f>
        <v/>
      </c>
      <c r="J501">
        <f>IF(I501="Overdue",TODAY()-E501,"")</f>
        <v/>
      </c>
    </row>
    <row r="502">
      <c r="A502" s="16" t="n"/>
      <c r="B502" s="16" t="n"/>
      <c r="C502" s="15" t="n"/>
      <c r="D502" s="16" t="n"/>
      <c r="E502" s="20">
        <f>IF(OR(C502="",D502=""),"",C502+D502)</f>
        <v/>
      </c>
      <c r="F502" s="18" t="n"/>
      <c r="G502" s="6">
        <f>IF(A502="","",SUMIFS(Income!$E$5:$E$504,Income!$C$5:$C$504,A502))</f>
        <v/>
      </c>
      <c r="H502" s="6">
        <f>IF(OR(A502="",F502=""),"",F502-G502)</f>
        <v/>
      </c>
      <c r="I502">
        <f>IF(OR(A502="",F502=""),"",IF(H502&lt;=0.004,"Paid",IF(AND(E502&lt;&gt;"",TODAY()&gt;E502),"Overdue",IF(G502&gt;0,"Partial","Open"))))</f>
        <v/>
      </c>
      <c r="J502">
        <f>IF(I502="Overdue",TODAY()-E502,"")</f>
        <v/>
      </c>
    </row>
    <row r="503">
      <c r="A503" s="16" t="n"/>
      <c r="B503" s="16" t="n"/>
      <c r="C503" s="15" t="n"/>
      <c r="D503" s="16" t="n"/>
      <c r="E503" s="20">
        <f>IF(OR(C503="",D503=""),"",C503+D503)</f>
        <v/>
      </c>
      <c r="F503" s="18" t="n"/>
      <c r="G503" s="6">
        <f>IF(A503="","",SUMIFS(Income!$E$5:$E$504,Income!$C$5:$C$504,A503))</f>
        <v/>
      </c>
      <c r="H503" s="6">
        <f>IF(OR(A503="",F503=""),"",F503-G503)</f>
        <v/>
      </c>
      <c r="I503">
        <f>IF(OR(A503="",F503=""),"",IF(H503&lt;=0.004,"Paid",IF(AND(E503&lt;&gt;"",TODAY()&gt;E503),"Overdue",IF(G503&gt;0,"Partial","Open"))))</f>
        <v/>
      </c>
      <c r="J503">
        <f>IF(I503="Overdue",TODAY()-E503,"")</f>
        <v/>
      </c>
    </row>
    <row r="504">
      <c r="A504" s="16" t="n"/>
      <c r="B504" s="16" t="n"/>
      <c r="C504" s="15" t="n"/>
      <c r="D504" s="16" t="n"/>
      <c r="E504" s="20">
        <f>IF(OR(C504="",D504=""),"",C504+D504)</f>
        <v/>
      </c>
      <c r="F504" s="18" t="n"/>
      <c r="G504" s="6">
        <f>IF(A504="","",SUMIFS(Income!$E$5:$E$504,Income!$C$5:$C$504,A504))</f>
        <v/>
      </c>
      <c r="H504" s="6">
        <f>IF(OR(A504="",F504=""),"",F504-G504)</f>
        <v/>
      </c>
      <c r="I504">
        <f>IF(OR(A504="",F504=""),"",IF(H504&lt;=0.004,"Paid",IF(AND(E504&lt;&gt;"",TODAY()&gt;E504),"Overdue",IF(G504&gt;0,"Partial","Open"))))</f>
        <v/>
      </c>
      <c r="J504">
        <f>IF(I504="Overdue",TODAY()-E504,"")</f>
        <v/>
      </c>
    </row>
  </sheetData>
  <conditionalFormatting sqref="I5:I504">
    <cfRule type="cellIs" priority="1" operator="equal" dxfId="0">
      <formula>"Overdue"</formula>
    </cfRule>
    <cfRule type="cellIs" priority="2" operator="equal" dxfId="1">
      <formula>"Paid"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2" customWidth="1" min="5" max="5"/>
    <col width="10" customWidth="1" min="6" max="6"/>
  </cols>
  <sheetData>
    <row r="1">
      <c r="A1" s="1" t="inlineStr">
        <is>
          <t>Client summary</t>
        </is>
      </c>
    </row>
    <row r="2">
      <c r="A2" s="2" t="inlineStr">
        <is>
          <t>Type client names in column A (exactly as in Income/Invoices). Totals are for the tax year in Settings.</t>
        </is>
      </c>
    </row>
    <row r="4" ht="30" customHeight="1">
      <c r="A4" s="17" t="inlineStr">
        <is>
          <t>Client</t>
        </is>
      </c>
      <c r="B4" s="17" t="inlineStr">
        <is>
          <t>Invoiced</t>
        </is>
      </c>
      <c r="C4" s="17" t="inlineStr">
        <is>
          <t>Received</t>
        </is>
      </c>
      <c r="D4" s="17" t="inlineStr">
        <is>
          <t>Outstanding</t>
        </is>
      </c>
      <c r="E4" s="17" t="inlineStr">
        <is>
          <t>% of income</t>
        </is>
      </c>
      <c r="F4" s="17" t="inlineStr">
        <is>
          <t>Invoices</t>
        </is>
      </c>
    </row>
    <row r="5">
      <c r="A5" s="16" t="n"/>
      <c r="B5" s="6">
        <f>IF(A5="","",SUMIFS(Invoices!$F$5:$F$504,Invoices!$B$5:$B$504,A5,Invoices!$C$5:$C$504,"&gt;="&amp;DATE(Settings!$B$4,1,1),Invoices!$C$5:$C$504,"&lt;="&amp;DATE(Settings!$B$4,12,31)))</f>
        <v/>
      </c>
      <c r="C5" s="6">
        <f>IF(A5="","",SUMIFS(Income!$E$5:$E$504,Income!$B$5:$B$504,A5,Income!$G$5:$G$504,Settings!$B$4))</f>
        <v/>
      </c>
      <c r="D5" s="6">
        <f>IF(A5="","",SUMIFS(Invoices!$H$5:$H$504,Invoices!$B$5:$B$504,A5))</f>
        <v/>
      </c>
      <c r="E5" s="21">
        <f>IF(OR(A5="",SUM($C$5:$C$34)=0),"",C5/SUM($C$5:$C$34))</f>
        <v/>
      </c>
      <c r="F5">
        <f>IF(A5="","",COUNTIFS(Invoices!$B$5:$B$504,A5))</f>
        <v/>
      </c>
    </row>
    <row r="6">
      <c r="A6" s="16" t="n"/>
      <c r="B6" s="6">
        <f>IF(A6="","",SUMIFS(Invoices!$F$5:$F$504,Invoices!$B$5:$B$504,A6,Invoices!$C$5:$C$504,"&gt;="&amp;DATE(Settings!$B$4,1,1),Invoices!$C$5:$C$504,"&lt;="&amp;DATE(Settings!$B$4,12,31)))</f>
        <v/>
      </c>
      <c r="C6" s="6">
        <f>IF(A6="","",SUMIFS(Income!$E$5:$E$504,Income!$B$5:$B$504,A6,Income!$G$5:$G$504,Settings!$B$4))</f>
        <v/>
      </c>
      <c r="D6" s="6">
        <f>IF(A6="","",SUMIFS(Invoices!$H$5:$H$504,Invoices!$B$5:$B$504,A6))</f>
        <v/>
      </c>
      <c r="E6" s="21">
        <f>IF(OR(A6="",SUM($C$5:$C$34)=0),"",C6/SUM($C$5:$C$34))</f>
        <v/>
      </c>
      <c r="F6">
        <f>IF(A6="","",COUNTIFS(Invoices!$B$5:$B$504,A6))</f>
        <v/>
      </c>
    </row>
    <row r="7">
      <c r="A7" s="16" t="n"/>
      <c r="B7" s="6">
        <f>IF(A7="","",SUMIFS(Invoices!$F$5:$F$504,Invoices!$B$5:$B$504,A7,Invoices!$C$5:$C$504,"&gt;="&amp;DATE(Settings!$B$4,1,1),Invoices!$C$5:$C$504,"&lt;="&amp;DATE(Settings!$B$4,12,31)))</f>
        <v/>
      </c>
      <c r="C7" s="6">
        <f>IF(A7="","",SUMIFS(Income!$E$5:$E$504,Income!$B$5:$B$504,A7,Income!$G$5:$G$504,Settings!$B$4))</f>
        <v/>
      </c>
      <c r="D7" s="6">
        <f>IF(A7="","",SUMIFS(Invoices!$H$5:$H$504,Invoices!$B$5:$B$504,A7))</f>
        <v/>
      </c>
      <c r="E7" s="21">
        <f>IF(OR(A7="",SUM($C$5:$C$34)=0),"",C7/SUM($C$5:$C$34))</f>
        <v/>
      </c>
      <c r="F7">
        <f>IF(A7="","",COUNTIFS(Invoices!$B$5:$B$504,A7))</f>
        <v/>
      </c>
    </row>
    <row r="8">
      <c r="A8" s="16" t="n"/>
      <c r="B8" s="6">
        <f>IF(A8="","",SUMIFS(Invoices!$F$5:$F$504,Invoices!$B$5:$B$504,A8,Invoices!$C$5:$C$504,"&gt;="&amp;DATE(Settings!$B$4,1,1),Invoices!$C$5:$C$504,"&lt;="&amp;DATE(Settings!$B$4,12,31)))</f>
        <v/>
      </c>
      <c r="C8" s="6">
        <f>IF(A8="","",SUMIFS(Income!$E$5:$E$504,Income!$B$5:$B$504,A8,Income!$G$5:$G$504,Settings!$B$4))</f>
        <v/>
      </c>
      <c r="D8" s="6">
        <f>IF(A8="","",SUMIFS(Invoices!$H$5:$H$504,Invoices!$B$5:$B$504,A8))</f>
        <v/>
      </c>
      <c r="E8" s="21">
        <f>IF(OR(A8="",SUM($C$5:$C$34)=0),"",C8/SUM($C$5:$C$34))</f>
        <v/>
      </c>
      <c r="F8">
        <f>IF(A8="","",COUNTIFS(Invoices!$B$5:$B$504,A8))</f>
        <v/>
      </c>
    </row>
    <row r="9">
      <c r="A9" s="16" t="n"/>
      <c r="B9" s="6">
        <f>IF(A9="","",SUMIFS(Invoices!$F$5:$F$504,Invoices!$B$5:$B$504,A9,Invoices!$C$5:$C$504,"&gt;="&amp;DATE(Settings!$B$4,1,1),Invoices!$C$5:$C$504,"&lt;="&amp;DATE(Settings!$B$4,12,31)))</f>
        <v/>
      </c>
      <c r="C9" s="6">
        <f>IF(A9="","",SUMIFS(Income!$E$5:$E$504,Income!$B$5:$B$504,A9,Income!$G$5:$G$504,Settings!$B$4))</f>
        <v/>
      </c>
      <c r="D9" s="6">
        <f>IF(A9="","",SUMIFS(Invoices!$H$5:$H$504,Invoices!$B$5:$B$504,A9))</f>
        <v/>
      </c>
      <c r="E9" s="21">
        <f>IF(OR(A9="",SUM($C$5:$C$34)=0),"",C9/SUM($C$5:$C$34))</f>
        <v/>
      </c>
      <c r="F9">
        <f>IF(A9="","",COUNTIFS(Invoices!$B$5:$B$504,A9))</f>
        <v/>
      </c>
    </row>
    <row r="10">
      <c r="A10" s="16" t="n"/>
      <c r="B10" s="6">
        <f>IF(A10="","",SUMIFS(Invoices!$F$5:$F$504,Invoices!$B$5:$B$504,A10,Invoices!$C$5:$C$504,"&gt;="&amp;DATE(Settings!$B$4,1,1),Invoices!$C$5:$C$504,"&lt;="&amp;DATE(Settings!$B$4,12,31)))</f>
        <v/>
      </c>
      <c r="C10" s="6">
        <f>IF(A10="","",SUMIFS(Income!$E$5:$E$504,Income!$B$5:$B$504,A10,Income!$G$5:$G$504,Settings!$B$4))</f>
        <v/>
      </c>
      <c r="D10" s="6">
        <f>IF(A10="","",SUMIFS(Invoices!$H$5:$H$504,Invoices!$B$5:$B$504,A10))</f>
        <v/>
      </c>
      <c r="E10" s="21">
        <f>IF(OR(A10="",SUM($C$5:$C$34)=0),"",C10/SUM($C$5:$C$34))</f>
        <v/>
      </c>
      <c r="F10">
        <f>IF(A10="","",COUNTIFS(Invoices!$B$5:$B$504,A10))</f>
        <v/>
      </c>
    </row>
    <row r="11">
      <c r="A11" s="16" t="n"/>
      <c r="B11" s="6">
        <f>IF(A11="","",SUMIFS(Invoices!$F$5:$F$504,Invoices!$B$5:$B$504,A11,Invoices!$C$5:$C$504,"&gt;="&amp;DATE(Settings!$B$4,1,1),Invoices!$C$5:$C$504,"&lt;="&amp;DATE(Settings!$B$4,12,31)))</f>
        <v/>
      </c>
      <c r="C11" s="6">
        <f>IF(A11="","",SUMIFS(Income!$E$5:$E$504,Income!$B$5:$B$504,A11,Income!$G$5:$G$504,Settings!$B$4))</f>
        <v/>
      </c>
      <c r="D11" s="6">
        <f>IF(A11="","",SUMIFS(Invoices!$H$5:$H$504,Invoices!$B$5:$B$504,A11))</f>
        <v/>
      </c>
      <c r="E11" s="21">
        <f>IF(OR(A11="",SUM($C$5:$C$34)=0),"",C11/SUM($C$5:$C$34))</f>
        <v/>
      </c>
      <c r="F11">
        <f>IF(A11="","",COUNTIFS(Invoices!$B$5:$B$504,A11))</f>
        <v/>
      </c>
    </row>
    <row r="12">
      <c r="A12" s="16" t="n"/>
      <c r="B12" s="6">
        <f>IF(A12="","",SUMIFS(Invoices!$F$5:$F$504,Invoices!$B$5:$B$504,A12,Invoices!$C$5:$C$504,"&gt;="&amp;DATE(Settings!$B$4,1,1),Invoices!$C$5:$C$504,"&lt;="&amp;DATE(Settings!$B$4,12,31)))</f>
        <v/>
      </c>
      <c r="C12" s="6">
        <f>IF(A12="","",SUMIFS(Income!$E$5:$E$504,Income!$B$5:$B$504,A12,Income!$G$5:$G$504,Settings!$B$4))</f>
        <v/>
      </c>
      <c r="D12" s="6">
        <f>IF(A12="","",SUMIFS(Invoices!$H$5:$H$504,Invoices!$B$5:$B$504,A12))</f>
        <v/>
      </c>
      <c r="E12" s="21">
        <f>IF(OR(A12="",SUM($C$5:$C$34)=0),"",C12/SUM($C$5:$C$34))</f>
        <v/>
      </c>
      <c r="F12">
        <f>IF(A12="","",COUNTIFS(Invoices!$B$5:$B$504,A12))</f>
        <v/>
      </c>
    </row>
    <row r="13">
      <c r="A13" s="16" t="n"/>
      <c r="B13" s="6">
        <f>IF(A13="","",SUMIFS(Invoices!$F$5:$F$504,Invoices!$B$5:$B$504,A13,Invoices!$C$5:$C$504,"&gt;="&amp;DATE(Settings!$B$4,1,1),Invoices!$C$5:$C$504,"&lt;="&amp;DATE(Settings!$B$4,12,31)))</f>
        <v/>
      </c>
      <c r="C13" s="6">
        <f>IF(A13="","",SUMIFS(Income!$E$5:$E$504,Income!$B$5:$B$504,A13,Income!$G$5:$G$504,Settings!$B$4))</f>
        <v/>
      </c>
      <c r="D13" s="6">
        <f>IF(A13="","",SUMIFS(Invoices!$H$5:$H$504,Invoices!$B$5:$B$504,A13))</f>
        <v/>
      </c>
      <c r="E13" s="21">
        <f>IF(OR(A13="",SUM($C$5:$C$34)=0),"",C13/SUM($C$5:$C$34))</f>
        <v/>
      </c>
      <c r="F13">
        <f>IF(A13="","",COUNTIFS(Invoices!$B$5:$B$504,A13))</f>
        <v/>
      </c>
    </row>
    <row r="14">
      <c r="A14" s="16" t="n"/>
      <c r="B14" s="6">
        <f>IF(A14="","",SUMIFS(Invoices!$F$5:$F$504,Invoices!$B$5:$B$504,A14,Invoices!$C$5:$C$504,"&gt;="&amp;DATE(Settings!$B$4,1,1),Invoices!$C$5:$C$504,"&lt;="&amp;DATE(Settings!$B$4,12,31)))</f>
        <v/>
      </c>
      <c r="C14" s="6">
        <f>IF(A14="","",SUMIFS(Income!$E$5:$E$504,Income!$B$5:$B$504,A14,Income!$G$5:$G$504,Settings!$B$4))</f>
        <v/>
      </c>
      <c r="D14" s="6">
        <f>IF(A14="","",SUMIFS(Invoices!$H$5:$H$504,Invoices!$B$5:$B$504,A14))</f>
        <v/>
      </c>
      <c r="E14" s="21">
        <f>IF(OR(A14="",SUM($C$5:$C$34)=0),"",C14/SUM($C$5:$C$34))</f>
        <v/>
      </c>
      <c r="F14">
        <f>IF(A14="","",COUNTIFS(Invoices!$B$5:$B$504,A14))</f>
        <v/>
      </c>
    </row>
    <row r="15">
      <c r="A15" s="16" t="n"/>
      <c r="B15" s="6">
        <f>IF(A15="","",SUMIFS(Invoices!$F$5:$F$504,Invoices!$B$5:$B$504,A15,Invoices!$C$5:$C$504,"&gt;="&amp;DATE(Settings!$B$4,1,1),Invoices!$C$5:$C$504,"&lt;="&amp;DATE(Settings!$B$4,12,31)))</f>
        <v/>
      </c>
      <c r="C15" s="6">
        <f>IF(A15="","",SUMIFS(Income!$E$5:$E$504,Income!$B$5:$B$504,A15,Income!$G$5:$G$504,Settings!$B$4))</f>
        <v/>
      </c>
      <c r="D15" s="6">
        <f>IF(A15="","",SUMIFS(Invoices!$H$5:$H$504,Invoices!$B$5:$B$504,A15))</f>
        <v/>
      </c>
      <c r="E15" s="21">
        <f>IF(OR(A15="",SUM($C$5:$C$34)=0),"",C15/SUM($C$5:$C$34))</f>
        <v/>
      </c>
      <c r="F15">
        <f>IF(A15="","",COUNTIFS(Invoices!$B$5:$B$504,A15))</f>
        <v/>
      </c>
    </row>
    <row r="16">
      <c r="A16" s="16" t="n"/>
      <c r="B16" s="6">
        <f>IF(A16="","",SUMIFS(Invoices!$F$5:$F$504,Invoices!$B$5:$B$504,A16,Invoices!$C$5:$C$504,"&gt;="&amp;DATE(Settings!$B$4,1,1),Invoices!$C$5:$C$504,"&lt;="&amp;DATE(Settings!$B$4,12,31)))</f>
        <v/>
      </c>
      <c r="C16" s="6">
        <f>IF(A16="","",SUMIFS(Income!$E$5:$E$504,Income!$B$5:$B$504,A16,Income!$G$5:$G$504,Settings!$B$4))</f>
        <v/>
      </c>
      <c r="D16" s="6">
        <f>IF(A16="","",SUMIFS(Invoices!$H$5:$H$504,Invoices!$B$5:$B$504,A16))</f>
        <v/>
      </c>
      <c r="E16" s="21">
        <f>IF(OR(A16="",SUM($C$5:$C$34)=0),"",C16/SUM($C$5:$C$34))</f>
        <v/>
      </c>
      <c r="F16">
        <f>IF(A16="","",COUNTIFS(Invoices!$B$5:$B$504,A16))</f>
        <v/>
      </c>
    </row>
    <row r="17">
      <c r="A17" s="16" t="n"/>
      <c r="B17" s="6">
        <f>IF(A17="","",SUMIFS(Invoices!$F$5:$F$504,Invoices!$B$5:$B$504,A17,Invoices!$C$5:$C$504,"&gt;="&amp;DATE(Settings!$B$4,1,1),Invoices!$C$5:$C$504,"&lt;="&amp;DATE(Settings!$B$4,12,31)))</f>
        <v/>
      </c>
      <c r="C17" s="6">
        <f>IF(A17="","",SUMIFS(Income!$E$5:$E$504,Income!$B$5:$B$504,A17,Income!$G$5:$G$504,Settings!$B$4))</f>
        <v/>
      </c>
      <c r="D17" s="6">
        <f>IF(A17="","",SUMIFS(Invoices!$H$5:$H$504,Invoices!$B$5:$B$504,A17))</f>
        <v/>
      </c>
      <c r="E17" s="21">
        <f>IF(OR(A17="",SUM($C$5:$C$34)=0),"",C17/SUM($C$5:$C$34))</f>
        <v/>
      </c>
      <c r="F17">
        <f>IF(A17="","",COUNTIFS(Invoices!$B$5:$B$504,A17))</f>
        <v/>
      </c>
    </row>
    <row r="18">
      <c r="A18" s="16" t="n"/>
      <c r="B18" s="6">
        <f>IF(A18="","",SUMIFS(Invoices!$F$5:$F$504,Invoices!$B$5:$B$504,A18,Invoices!$C$5:$C$504,"&gt;="&amp;DATE(Settings!$B$4,1,1),Invoices!$C$5:$C$504,"&lt;="&amp;DATE(Settings!$B$4,12,31)))</f>
        <v/>
      </c>
      <c r="C18" s="6">
        <f>IF(A18="","",SUMIFS(Income!$E$5:$E$504,Income!$B$5:$B$504,A18,Income!$G$5:$G$504,Settings!$B$4))</f>
        <v/>
      </c>
      <c r="D18" s="6">
        <f>IF(A18="","",SUMIFS(Invoices!$H$5:$H$504,Invoices!$B$5:$B$504,A18))</f>
        <v/>
      </c>
      <c r="E18" s="21">
        <f>IF(OR(A18="",SUM($C$5:$C$34)=0),"",C18/SUM($C$5:$C$34))</f>
        <v/>
      </c>
      <c r="F18">
        <f>IF(A18="","",COUNTIFS(Invoices!$B$5:$B$504,A18))</f>
        <v/>
      </c>
    </row>
    <row r="19">
      <c r="A19" s="16" t="n"/>
      <c r="B19" s="6">
        <f>IF(A19="","",SUMIFS(Invoices!$F$5:$F$504,Invoices!$B$5:$B$504,A19,Invoices!$C$5:$C$504,"&gt;="&amp;DATE(Settings!$B$4,1,1),Invoices!$C$5:$C$504,"&lt;="&amp;DATE(Settings!$B$4,12,31)))</f>
        <v/>
      </c>
      <c r="C19" s="6">
        <f>IF(A19="","",SUMIFS(Income!$E$5:$E$504,Income!$B$5:$B$504,A19,Income!$G$5:$G$504,Settings!$B$4))</f>
        <v/>
      </c>
      <c r="D19" s="6">
        <f>IF(A19="","",SUMIFS(Invoices!$H$5:$H$504,Invoices!$B$5:$B$504,A19))</f>
        <v/>
      </c>
      <c r="E19" s="21">
        <f>IF(OR(A19="",SUM($C$5:$C$34)=0),"",C19/SUM($C$5:$C$34))</f>
        <v/>
      </c>
      <c r="F19">
        <f>IF(A19="","",COUNTIFS(Invoices!$B$5:$B$504,A19))</f>
        <v/>
      </c>
    </row>
    <row r="20">
      <c r="A20" s="16" t="n"/>
      <c r="B20" s="6">
        <f>IF(A20="","",SUMIFS(Invoices!$F$5:$F$504,Invoices!$B$5:$B$504,A20,Invoices!$C$5:$C$504,"&gt;="&amp;DATE(Settings!$B$4,1,1),Invoices!$C$5:$C$504,"&lt;="&amp;DATE(Settings!$B$4,12,31)))</f>
        <v/>
      </c>
      <c r="C20" s="6">
        <f>IF(A20="","",SUMIFS(Income!$E$5:$E$504,Income!$B$5:$B$504,A20,Income!$G$5:$G$504,Settings!$B$4))</f>
        <v/>
      </c>
      <c r="D20" s="6">
        <f>IF(A20="","",SUMIFS(Invoices!$H$5:$H$504,Invoices!$B$5:$B$504,A20))</f>
        <v/>
      </c>
      <c r="E20" s="21">
        <f>IF(OR(A20="",SUM($C$5:$C$34)=0),"",C20/SUM($C$5:$C$34))</f>
        <v/>
      </c>
      <c r="F20">
        <f>IF(A20="","",COUNTIFS(Invoices!$B$5:$B$504,A20))</f>
        <v/>
      </c>
    </row>
    <row r="21">
      <c r="A21" s="16" t="n"/>
      <c r="B21" s="6">
        <f>IF(A21="","",SUMIFS(Invoices!$F$5:$F$504,Invoices!$B$5:$B$504,A21,Invoices!$C$5:$C$504,"&gt;="&amp;DATE(Settings!$B$4,1,1),Invoices!$C$5:$C$504,"&lt;="&amp;DATE(Settings!$B$4,12,31)))</f>
        <v/>
      </c>
      <c r="C21" s="6">
        <f>IF(A21="","",SUMIFS(Income!$E$5:$E$504,Income!$B$5:$B$504,A21,Income!$G$5:$G$504,Settings!$B$4))</f>
        <v/>
      </c>
      <c r="D21" s="6">
        <f>IF(A21="","",SUMIFS(Invoices!$H$5:$H$504,Invoices!$B$5:$B$504,A21))</f>
        <v/>
      </c>
      <c r="E21" s="21">
        <f>IF(OR(A21="",SUM($C$5:$C$34)=0),"",C21/SUM($C$5:$C$34))</f>
        <v/>
      </c>
      <c r="F21">
        <f>IF(A21="","",COUNTIFS(Invoices!$B$5:$B$504,A21))</f>
        <v/>
      </c>
    </row>
    <row r="22">
      <c r="A22" s="16" t="n"/>
      <c r="B22" s="6">
        <f>IF(A22="","",SUMIFS(Invoices!$F$5:$F$504,Invoices!$B$5:$B$504,A22,Invoices!$C$5:$C$504,"&gt;="&amp;DATE(Settings!$B$4,1,1),Invoices!$C$5:$C$504,"&lt;="&amp;DATE(Settings!$B$4,12,31)))</f>
        <v/>
      </c>
      <c r="C22" s="6">
        <f>IF(A22="","",SUMIFS(Income!$E$5:$E$504,Income!$B$5:$B$504,A22,Income!$G$5:$G$504,Settings!$B$4))</f>
        <v/>
      </c>
      <c r="D22" s="6">
        <f>IF(A22="","",SUMIFS(Invoices!$H$5:$H$504,Invoices!$B$5:$B$504,A22))</f>
        <v/>
      </c>
      <c r="E22" s="21">
        <f>IF(OR(A22="",SUM($C$5:$C$34)=0),"",C22/SUM($C$5:$C$34))</f>
        <v/>
      </c>
      <c r="F22">
        <f>IF(A22="","",COUNTIFS(Invoices!$B$5:$B$504,A22))</f>
        <v/>
      </c>
    </row>
    <row r="23">
      <c r="A23" s="16" t="n"/>
      <c r="B23" s="6">
        <f>IF(A23="","",SUMIFS(Invoices!$F$5:$F$504,Invoices!$B$5:$B$504,A23,Invoices!$C$5:$C$504,"&gt;="&amp;DATE(Settings!$B$4,1,1),Invoices!$C$5:$C$504,"&lt;="&amp;DATE(Settings!$B$4,12,31)))</f>
        <v/>
      </c>
      <c r="C23" s="6">
        <f>IF(A23="","",SUMIFS(Income!$E$5:$E$504,Income!$B$5:$B$504,A23,Income!$G$5:$G$504,Settings!$B$4))</f>
        <v/>
      </c>
      <c r="D23" s="6">
        <f>IF(A23="","",SUMIFS(Invoices!$H$5:$H$504,Invoices!$B$5:$B$504,A23))</f>
        <v/>
      </c>
      <c r="E23" s="21">
        <f>IF(OR(A23="",SUM($C$5:$C$34)=0),"",C23/SUM($C$5:$C$34))</f>
        <v/>
      </c>
      <c r="F23">
        <f>IF(A23="","",COUNTIFS(Invoices!$B$5:$B$504,A23))</f>
        <v/>
      </c>
    </row>
    <row r="24">
      <c r="A24" s="16" t="n"/>
      <c r="B24" s="6">
        <f>IF(A24="","",SUMIFS(Invoices!$F$5:$F$504,Invoices!$B$5:$B$504,A24,Invoices!$C$5:$C$504,"&gt;="&amp;DATE(Settings!$B$4,1,1),Invoices!$C$5:$C$504,"&lt;="&amp;DATE(Settings!$B$4,12,31)))</f>
        <v/>
      </c>
      <c r="C24" s="6">
        <f>IF(A24="","",SUMIFS(Income!$E$5:$E$504,Income!$B$5:$B$504,A24,Income!$G$5:$G$504,Settings!$B$4))</f>
        <v/>
      </c>
      <c r="D24" s="6">
        <f>IF(A24="","",SUMIFS(Invoices!$H$5:$H$504,Invoices!$B$5:$B$504,A24))</f>
        <v/>
      </c>
      <c r="E24" s="21">
        <f>IF(OR(A24="",SUM($C$5:$C$34)=0),"",C24/SUM($C$5:$C$34))</f>
        <v/>
      </c>
      <c r="F24">
        <f>IF(A24="","",COUNTIFS(Invoices!$B$5:$B$504,A24))</f>
        <v/>
      </c>
    </row>
    <row r="25">
      <c r="A25" s="16" t="n"/>
      <c r="B25" s="6">
        <f>IF(A25="","",SUMIFS(Invoices!$F$5:$F$504,Invoices!$B$5:$B$504,A25,Invoices!$C$5:$C$504,"&gt;="&amp;DATE(Settings!$B$4,1,1),Invoices!$C$5:$C$504,"&lt;="&amp;DATE(Settings!$B$4,12,31)))</f>
        <v/>
      </c>
      <c r="C25" s="6">
        <f>IF(A25="","",SUMIFS(Income!$E$5:$E$504,Income!$B$5:$B$504,A25,Income!$G$5:$G$504,Settings!$B$4))</f>
        <v/>
      </c>
      <c r="D25" s="6">
        <f>IF(A25="","",SUMIFS(Invoices!$H$5:$H$504,Invoices!$B$5:$B$504,A25))</f>
        <v/>
      </c>
      <c r="E25" s="21">
        <f>IF(OR(A25="",SUM($C$5:$C$34)=0),"",C25/SUM($C$5:$C$34))</f>
        <v/>
      </c>
      <c r="F25">
        <f>IF(A25="","",COUNTIFS(Invoices!$B$5:$B$504,A25))</f>
        <v/>
      </c>
    </row>
    <row r="26">
      <c r="A26" s="16" t="n"/>
      <c r="B26" s="6">
        <f>IF(A26="","",SUMIFS(Invoices!$F$5:$F$504,Invoices!$B$5:$B$504,A26,Invoices!$C$5:$C$504,"&gt;="&amp;DATE(Settings!$B$4,1,1),Invoices!$C$5:$C$504,"&lt;="&amp;DATE(Settings!$B$4,12,31)))</f>
        <v/>
      </c>
      <c r="C26" s="6">
        <f>IF(A26="","",SUMIFS(Income!$E$5:$E$504,Income!$B$5:$B$504,A26,Income!$G$5:$G$504,Settings!$B$4))</f>
        <v/>
      </c>
      <c r="D26" s="6">
        <f>IF(A26="","",SUMIFS(Invoices!$H$5:$H$504,Invoices!$B$5:$B$504,A26))</f>
        <v/>
      </c>
      <c r="E26" s="21">
        <f>IF(OR(A26="",SUM($C$5:$C$34)=0),"",C26/SUM($C$5:$C$34))</f>
        <v/>
      </c>
      <c r="F26">
        <f>IF(A26="","",COUNTIFS(Invoices!$B$5:$B$504,A26))</f>
        <v/>
      </c>
    </row>
    <row r="27">
      <c r="A27" s="16" t="n"/>
      <c r="B27" s="6">
        <f>IF(A27="","",SUMIFS(Invoices!$F$5:$F$504,Invoices!$B$5:$B$504,A27,Invoices!$C$5:$C$504,"&gt;="&amp;DATE(Settings!$B$4,1,1),Invoices!$C$5:$C$504,"&lt;="&amp;DATE(Settings!$B$4,12,31)))</f>
        <v/>
      </c>
      <c r="C27" s="6">
        <f>IF(A27="","",SUMIFS(Income!$E$5:$E$504,Income!$B$5:$B$504,A27,Income!$G$5:$G$504,Settings!$B$4))</f>
        <v/>
      </c>
      <c r="D27" s="6">
        <f>IF(A27="","",SUMIFS(Invoices!$H$5:$H$504,Invoices!$B$5:$B$504,A27))</f>
        <v/>
      </c>
      <c r="E27" s="21">
        <f>IF(OR(A27="",SUM($C$5:$C$34)=0),"",C27/SUM($C$5:$C$34))</f>
        <v/>
      </c>
      <c r="F27">
        <f>IF(A27="","",COUNTIFS(Invoices!$B$5:$B$504,A27))</f>
        <v/>
      </c>
    </row>
    <row r="28">
      <c r="A28" s="16" t="n"/>
      <c r="B28" s="6">
        <f>IF(A28="","",SUMIFS(Invoices!$F$5:$F$504,Invoices!$B$5:$B$504,A28,Invoices!$C$5:$C$504,"&gt;="&amp;DATE(Settings!$B$4,1,1),Invoices!$C$5:$C$504,"&lt;="&amp;DATE(Settings!$B$4,12,31)))</f>
        <v/>
      </c>
      <c r="C28" s="6">
        <f>IF(A28="","",SUMIFS(Income!$E$5:$E$504,Income!$B$5:$B$504,A28,Income!$G$5:$G$504,Settings!$B$4))</f>
        <v/>
      </c>
      <c r="D28" s="6">
        <f>IF(A28="","",SUMIFS(Invoices!$H$5:$H$504,Invoices!$B$5:$B$504,A28))</f>
        <v/>
      </c>
      <c r="E28" s="21">
        <f>IF(OR(A28="",SUM($C$5:$C$34)=0),"",C28/SUM($C$5:$C$34))</f>
        <v/>
      </c>
      <c r="F28">
        <f>IF(A28="","",COUNTIFS(Invoices!$B$5:$B$504,A28))</f>
        <v/>
      </c>
    </row>
    <row r="29">
      <c r="A29" s="16" t="n"/>
      <c r="B29" s="6">
        <f>IF(A29="","",SUMIFS(Invoices!$F$5:$F$504,Invoices!$B$5:$B$504,A29,Invoices!$C$5:$C$504,"&gt;="&amp;DATE(Settings!$B$4,1,1),Invoices!$C$5:$C$504,"&lt;="&amp;DATE(Settings!$B$4,12,31)))</f>
        <v/>
      </c>
      <c r="C29" s="6">
        <f>IF(A29="","",SUMIFS(Income!$E$5:$E$504,Income!$B$5:$B$504,A29,Income!$G$5:$G$504,Settings!$B$4))</f>
        <v/>
      </c>
      <c r="D29" s="6">
        <f>IF(A29="","",SUMIFS(Invoices!$H$5:$H$504,Invoices!$B$5:$B$504,A29))</f>
        <v/>
      </c>
      <c r="E29" s="21">
        <f>IF(OR(A29="",SUM($C$5:$C$34)=0),"",C29/SUM($C$5:$C$34))</f>
        <v/>
      </c>
      <c r="F29">
        <f>IF(A29="","",COUNTIFS(Invoices!$B$5:$B$504,A29))</f>
        <v/>
      </c>
    </row>
    <row r="30">
      <c r="A30" s="16" t="n"/>
      <c r="B30" s="6">
        <f>IF(A30="","",SUMIFS(Invoices!$F$5:$F$504,Invoices!$B$5:$B$504,A30,Invoices!$C$5:$C$504,"&gt;="&amp;DATE(Settings!$B$4,1,1),Invoices!$C$5:$C$504,"&lt;="&amp;DATE(Settings!$B$4,12,31)))</f>
        <v/>
      </c>
      <c r="C30" s="6">
        <f>IF(A30="","",SUMIFS(Income!$E$5:$E$504,Income!$B$5:$B$504,A30,Income!$G$5:$G$504,Settings!$B$4))</f>
        <v/>
      </c>
      <c r="D30" s="6">
        <f>IF(A30="","",SUMIFS(Invoices!$H$5:$H$504,Invoices!$B$5:$B$504,A30))</f>
        <v/>
      </c>
      <c r="E30" s="21">
        <f>IF(OR(A30="",SUM($C$5:$C$34)=0),"",C30/SUM($C$5:$C$34))</f>
        <v/>
      </c>
      <c r="F30">
        <f>IF(A30="","",COUNTIFS(Invoices!$B$5:$B$504,A30))</f>
        <v/>
      </c>
    </row>
    <row r="31">
      <c r="A31" s="16" t="n"/>
      <c r="B31" s="6">
        <f>IF(A31="","",SUMIFS(Invoices!$F$5:$F$504,Invoices!$B$5:$B$504,A31,Invoices!$C$5:$C$504,"&gt;="&amp;DATE(Settings!$B$4,1,1),Invoices!$C$5:$C$504,"&lt;="&amp;DATE(Settings!$B$4,12,31)))</f>
        <v/>
      </c>
      <c r="C31" s="6">
        <f>IF(A31="","",SUMIFS(Income!$E$5:$E$504,Income!$B$5:$B$504,A31,Income!$G$5:$G$504,Settings!$B$4))</f>
        <v/>
      </c>
      <c r="D31" s="6">
        <f>IF(A31="","",SUMIFS(Invoices!$H$5:$H$504,Invoices!$B$5:$B$504,A31))</f>
        <v/>
      </c>
      <c r="E31" s="21">
        <f>IF(OR(A31="",SUM($C$5:$C$34)=0),"",C31/SUM($C$5:$C$34))</f>
        <v/>
      </c>
      <c r="F31">
        <f>IF(A31="","",COUNTIFS(Invoices!$B$5:$B$504,A31))</f>
        <v/>
      </c>
    </row>
    <row r="32">
      <c r="A32" s="16" t="n"/>
      <c r="B32" s="6">
        <f>IF(A32="","",SUMIFS(Invoices!$F$5:$F$504,Invoices!$B$5:$B$504,A32,Invoices!$C$5:$C$504,"&gt;="&amp;DATE(Settings!$B$4,1,1),Invoices!$C$5:$C$504,"&lt;="&amp;DATE(Settings!$B$4,12,31)))</f>
        <v/>
      </c>
      <c r="C32" s="6">
        <f>IF(A32="","",SUMIFS(Income!$E$5:$E$504,Income!$B$5:$B$504,A32,Income!$G$5:$G$504,Settings!$B$4))</f>
        <v/>
      </c>
      <c r="D32" s="6">
        <f>IF(A32="","",SUMIFS(Invoices!$H$5:$H$504,Invoices!$B$5:$B$504,A32))</f>
        <v/>
      </c>
      <c r="E32" s="21">
        <f>IF(OR(A32="",SUM($C$5:$C$34)=0),"",C32/SUM($C$5:$C$34))</f>
        <v/>
      </c>
      <c r="F32">
        <f>IF(A32="","",COUNTIFS(Invoices!$B$5:$B$504,A32))</f>
        <v/>
      </c>
    </row>
    <row r="33">
      <c r="A33" s="16" t="n"/>
      <c r="B33" s="6">
        <f>IF(A33="","",SUMIFS(Invoices!$F$5:$F$504,Invoices!$B$5:$B$504,A33,Invoices!$C$5:$C$504,"&gt;="&amp;DATE(Settings!$B$4,1,1),Invoices!$C$5:$C$504,"&lt;="&amp;DATE(Settings!$B$4,12,31)))</f>
        <v/>
      </c>
      <c r="C33" s="6">
        <f>IF(A33="","",SUMIFS(Income!$E$5:$E$504,Income!$B$5:$B$504,A33,Income!$G$5:$G$504,Settings!$B$4))</f>
        <v/>
      </c>
      <c r="D33" s="6">
        <f>IF(A33="","",SUMIFS(Invoices!$H$5:$H$504,Invoices!$B$5:$B$504,A33))</f>
        <v/>
      </c>
      <c r="E33" s="21">
        <f>IF(OR(A33="",SUM($C$5:$C$34)=0),"",C33/SUM($C$5:$C$34))</f>
        <v/>
      </c>
      <c r="F33">
        <f>IF(A33="","",COUNTIFS(Invoices!$B$5:$B$504,A33))</f>
        <v/>
      </c>
    </row>
    <row r="34">
      <c r="A34" s="16" t="n"/>
      <c r="B34" s="6">
        <f>IF(A34="","",SUMIFS(Invoices!$F$5:$F$504,Invoices!$B$5:$B$504,A34,Invoices!$C$5:$C$504,"&gt;="&amp;DATE(Settings!$B$4,1,1),Invoices!$C$5:$C$504,"&lt;="&amp;DATE(Settings!$B$4,12,31)))</f>
        <v/>
      </c>
      <c r="C34" s="6">
        <f>IF(A34="","",SUMIFS(Income!$E$5:$E$504,Income!$B$5:$B$504,A34,Income!$G$5:$G$504,Settings!$B$4))</f>
        <v/>
      </c>
      <c r="D34" s="6">
        <f>IF(A34="","",SUMIFS(Invoices!$H$5:$H$504,Invoices!$B$5:$B$504,A34))</f>
        <v/>
      </c>
      <c r="E34" s="21">
        <f>IF(OR(A34="",SUM($C$5:$C$34)=0),"",C34/SUM($C$5:$C$34))</f>
        <v/>
      </c>
      <c r="F34">
        <f>IF(A34="","",COUNTIFS(Invoices!$B$5:$B$504,A34))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8" customWidth="1" min="4" max="4"/>
    <col width="15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Estimated tax set-aside</t>
        </is>
      </c>
    </row>
    <row r="2">
      <c r="A2" s="2" t="inlineStr">
        <is>
          <t>Per IRS payment period for the tax year in Settings. Planning estimate only.</t>
        </is>
      </c>
    </row>
    <row r="4" ht="30" customHeight="1">
      <c r="A4" s="17" t="inlineStr">
        <is>
          <t>Period</t>
        </is>
      </c>
      <c r="B4" s="17" t="inlineStr">
        <is>
          <t>Due date</t>
        </is>
      </c>
      <c r="C4" s="17" t="inlineStr">
        <is>
          <t>Income</t>
        </is>
      </c>
      <c r="D4" s="17" t="inlineStr">
        <is>
          <t>Deductible expenses</t>
        </is>
      </c>
      <c r="E4" s="17" t="inlineStr">
        <is>
          <t>Net profit</t>
        </is>
      </c>
      <c r="F4" s="17" t="inlineStr">
        <is>
          <t>SE tax</t>
        </is>
      </c>
      <c r="G4" s="17" t="inlineStr">
        <is>
          <t>Income + state tax</t>
        </is>
      </c>
      <c r="H4" s="17" t="inlineStr">
        <is>
          <t>Total to set aside</t>
        </is>
      </c>
      <c r="I4" s="17" t="inlineStr">
        <is>
          <t>Cumulative set-aside</t>
        </is>
      </c>
    </row>
    <row r="5">
      <c r="A5" t="inlineStr">
        <is>
          <t>P1 Jan-Mar</t>
        </is>
      </c>
      <c r="B5" s="20">
        <f>Settings!B12</f>
        <v/>
      </c>
      <c r="C5" s="6">
        <f>SUMIFS(Income!$E$5:$E$504,Income!$H$5:$H$504,1,Income!$G$5:$G$504,Settings!$B$4)</f>
        <v/>
      </c>
      <c r="D5" s="6">
        <f>SUMIFS(Expenses!$G$5:$G$504,Expenses!$I$5:$I$504,1,Expenses!$H$5:$H$504,Settings!$B$4)</f>
        <v/>
      </c>
      <c r="E5" s="6">
        <f>C5-D5</f>
        <v/>
      </c>
      <c r="F5" s="6">
        <f>MAX(0,E5)*Settings!$B$6*Settings!$B$5</f>
        <v/>
      </c>
      <c r="G5" s="6">
        <f>MAX(0,E5-F5/2)*(Settings!$B$7+Settings!$B$8)</f>
        <v/>
      </c>
      <c r="H5" s="6">
        <f>(F5+G5)*(1+Settings!$B$9)</f>
        <v/>
      </c>
      <c r="I5" s="6">
        <f>SUM($H$5:H5)</f>
        <v/>
      </c>
    </row>
    <row r="6">
      <c r="A6" t="inlineStr">
        <is>
          <t>P2 Apr-May</t>
        </is>
      </c>
      <c r="B6" s="20">
        <f>Settings!B13</f>
        <v/>
      </c>
      <c r="C6" s="6">
        <f>SUMIFS(Income!$E$5:$E$504,Income!$H$5:$H$504,2,Income!$G$5:$G$504,Settings!$B$4)</f>
        <v/>
      </c>
      <c r="D6" s="6">
        <f>SUMIFS(Expenses!$G$5:$G$504,Expenses!$I$5:$I$504,2,Expenses!$H$5:$H$504,Settings!$B$4)</f>
        <v/>
      </c>
      <c r="E6" s="6">
        <f>C6-D6</f>
        <v/>
      </c>
      <c r="F6" s="6">
        <f>MAX(0,E6)*Settings!$B$6*Settings!$B$5</f>
        <v/>
      </c>
      <c r="G6" s="6">
        <f>MAX(0,E6-F6/2)*(Settings!$B$7+Settings!$B$8)</f>
        <v/>
      </c>
      <c r="H6" s="6">
        <f>(F6+G6)*(1+Settings!$B$9)</f>
        <v/>
      </c>
      <c r="I6" s="6">
        <f>SUM($H$5:H6)</f>
        <v/>
      </c>
    </row>
    <row r="7">
      <c r="A7" t="inlineStr">
        <is>
          <t>P3 Jun-Aug</t>
        </is>
      </c>
      <c r="B7" s="20">
        <f>Settings!B14</f>
        <v/>
      </c>
      <c r="C7" s="6">
        <f>SUMIFS(Income!$E$5:$E$504,Income!$H$5:$H$504,3,Income!$G$5:$G$504,Settings!$B$4)</f>
        <v/>
      </c>
      <c r="D7" s="6">
        <f>SUMIFS(Expenses!$G$5:$G$504,Expenses!$I$5:$I$504,3,Expenses!$H$5:$H$504,Settings!$B$4)</f>
        <v/>
      </c>
      <c r="E7" s="6">
        <f>C7-D7</f>
        <v/>
      </c>
      <c r="F7" s="6">
        <f>MAX(0,E7)*Settings!$B$6*Settings!$B$5</f>
        <v/>
      </c>
      <c r="G7" s="6">
        <f>MAX(0,E7-F7/2)*(Settings!$B$7+Settings!$B$8)</f>
        <v/>
      </c>
      <c r="H7" s="6">
        <f>(F7+G7)*(1+Settings!$B$9)</f>
        <v/>
      </c>
      <c r="I7" s="6">
        <f>SUM($H$5:H7)</f>
        <v/>
      </c>
    </row>
    <row r="8">
      <c r="A8" t="inlineStr">
        <is>
          <t>P4 Sep-Dec</t>
        </is>
      </c>
      <c r="B8" s="20">
        <f>Settings!B15</f>
        <v/>
      </c>
      <c r="C8" s="6">
        <f>SUMIFS(Income!$E$5:$E$504,Income!$H$5:$H$504,4,Income!$G$5:$G$504,Settings!$B$4)</f>
        <v/>
      </c>
      <c r="D8" s="6">
        <f>SUMIFS(Expenses!$G$5:$G$504,Expenses!$I$5:$I$504,4,Expenses!$H$5:$H$504,Settings!$B$4)</f>
        <v/>
      </c>
      <c r="E8" s="6">
        <f>C8-D8</f>
        <v/>
      </c>
      <c r="F8" s="6">
        <f>MAX(0,E8)*Settings!$B$6*Settings!$B$5</f>
        <v/>
      </c>
      <c r="G8" s="6">
        <f>MAX(0,E8-F8/2)*(Settings!$B$7+Settings!$B$8)</f>
        <v/>
      </c>
      <c r="H8" s="6">
        <f>(F8+G8)*(1+Settings!$B$9)</f>
        <v/>
      </c>
      <c r="I8" s="6">
        <f>SUM($H$5:H8)</f>
        <v/>
      </c>
    </row>
    <row r="9">
      <c r="A9" s="10" t="inlineStr">
        <is>
          <t>Year total</t>
        </is>
      </c>
      <c r="C9" s="11">
        <f>SUM(C5:C8)</f>
        <v/>
      </c>
      <c r="D9" s="11">
        <f>SUM(D5:D8)</f>
        <v/>
      </c>
      <c r="E9" s="11">
        <f>SUM(E5:E8)</f>
        <v/>
      </c>
      <c r="F9" s="11">
        <f>SUM(F5:F8)</f>
        <v/>
      </c>
      <c r="G9" s="11">
        <f>SUM(G5:G8)</f>
        <v/>
      </c>
      <c r="H9" s="11">
        <f>SUM(H5:H8)</f>
        <v/>
      </c>
    </row>
    <row r="11">
      <c r="A11" t="inlineStr">
        <is>
          <t>How it works: SE tax = net profit x 92.35% x 15.3%. Income tax = (profit - half of SE tax) x your income + state rates. Then your cushion is added.</t>
        </is>
      </c>
    </row>
    <row r="12">
      <c r="A12" t="inlineStr">
        <is>
          <t>Move the 'Total to set aside' amount into a separate savings account the week each payment lands.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2026-10-03T00:37:17Z</dcterms:created>
  <dcterms:modified xsi:type="dcterms:W3CDTF">2026-10-03T00:37:17Z</dcterms:modified>
</cp:coreProperties>
</file>