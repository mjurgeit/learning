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ttings" sheetId="2" state="visible" r:id="rId2"/>
    <sheet name="Mileage" sheetId="3" state="visible" r:id="rId3"/>
    <sheet name="Deductions" sheetId="4" state="visible" r:id="rId4"/>
    <sheet name="Home Off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;[Red]-$#,##0.00"/>
    <numFmt numFmtId="166" formatCode="$0.000"/>
    <numFmt numFmtId="167" formatCode="0.0%"/>
    <numFmt numFmtId="168" formatCode="#,##0.0"/>
  </numFmts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66666"/>
    </font>
    <font>
      <name val="Calibri"/>
      <b val="1"/>
      <color rgb="00FFFFFF"/>
    </font>
    <font>
      <b val="1"/>
    </font>
    <font>
      <b val="1"/>
      <color rgb="001F2A44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2A44"/>
      </patternFill>
    </fill>
    <fill>
      <patternFill patternType="solid">
        <fgColor rgb="00EAF4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4" fillId="4" borderId="0" pivotButton="0" quotePrefix="0" xfId="0"/>
    <xf numFmtId="165" fontId="5" fillId="0" borderId="0" pivotButton="0" quotePrefix="0" xfId="0"/>
    <xf numFmtId="168" fontId="5" fillId="0" borderId="0" pivotButton="0" quotePrefix="0" xfId="0"/>
    <xf numFmtId="1" fontId="5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9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166" fontId="0" fillId="0" borderId="0" pivotButton="0" quotePrefix="0" xfId="0"/>
    <xf numFmtId="165" fontId="0" fillId="2" borderId="1" pivotButton="0" quotePrefix="0" xfId="0"/>
    <xf numFmtId="0" fontId="3" fillId="3" borderId="0" pivotButton="0" quotePrefix="0" xfId="0"/>
    <xf numFmtId="165" fontId="0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Deductions by category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'Summary'!$A$13:$A$26</f>
            </numRef>
          </cat>
          <val>
            <numRef>
              <f>'Summary'!$B$13:$B$26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Tax Deduction &amp; Mileage Summary</t>
        </is>
      </c>
    </row>
    <row r="2">
      <c r="A2">
        <f>"Tax year "&amp;Settings!B4</f>
        <v/>
      </c>
    </row>
    <row r="4">
      <c r="A4" s="2" t="inlineStr">
        <is>
          <t>Mileage deduction</t>
        </is>
      </c>
      <c r="B4" s="3">
        <f>SUMIFS(Mileage!$G$5:$G$504,Mileage!$H$5:$H$504,Settings!B4)</f>
        <v/>
      </c>
    </row>
    <row r="5">
      <c r="A5" s="2" t="inlineStr">
        <is>
          <t>Business miles</t>
        </is>
      </c>
      <c r="B5" s="4">
        <f>SUMIFS(Mileage!$E$5:$E$504,Mileage!$H$5:$H$504,Settings!B4)</f>
        <v/>
      </c>
    </row>
    <row r="6">
      <c r="A6" s="2" t="inlineStr">
        <is>
          <t>Other deductions</t>
        </is>
      </c>
      <c r="B6" s="3">
        <f>SUMIFS(Deductions!$F$5:$F$504,Deductions!$H$5:$H$504,Settings!B4)</f>
        <v/>
      </c>
    </row>
    <row r="7">
      <c r="A7" s="2" t="inlineStr">
        <is>
          <t>Home office deduction</t>
        </is>
      </c>
      <c r="B7" s="3">
        <f>'Home Office'!B15</f>
        <v/>
      </c>
    </row>
    <row r="8">
      <c r="A8" s="2" t="inlineStr">
        <is>
          <t>TOTAL deductions</t>
        </is>
      </c>
      <c r="B8" s="3">
        <f>B4+B6+B7</f>
        <v/>
      </c>
    </row>
    <row r="9">
      <c r="A9" s="2" t="inlineStr">
        <is>
          <t>Estimated tax saved</t>
        </is>
      </c>
      <c r="B9" s="3">
        <f>B8*Settings!B11</f>
        <v/>
      </c>
    </row>
    <row r="10">
      <c r="A10" s="2" t="inlineStr">
        <is>
          <t>Items missing receipts</t>
        </is>
      </c>
      <c r="B10" s="5">
        <f>COUNTIFS(Deductions!$G$5:$G$504,"N")</f>
        <v/>
      </c>
    </row>
    <row r="12">
      <c r="A12" s="6" t="inlineStr">
        <is>
          <t>By category</t>
        </is>
      </c>
    </row>
    <row r="13">
      <c r="A13" t="inlineStr">
        <is>
          <t>Software &amp; Subscriptions</t>
        </is>
      </c>
      <c r="B13" s="7">
        <f>SUMIFS(Deductions!$F$5:$F$504,Deductions!$C$5:$C$504,A13,Deductions!$H$5:$H$504,Settings!$B$4)</f>
        <v/>
      </c>
    </row>
    <row r="14">
      <c r="A14" t="inlineStr">
        <is>
          <t>Equipment &amp; Hardware</t>
        </is>
      </c>
      <c r="B14" s="7">
        <f>SUMIFS(Deductions!$F$5:$F$504,Deductions!$C$5:$C$504,A14,Deductions!$H$5:$H$504,Settings!$B$4)</f>
        <v/>
      </c>
    </row>
    <row r="15">
      <c r="A15" t="inlineStr">
        <is>
          <t>Home Office</t>
        </is>
      </c>
      <c r="B15" s="7">
        <f>SUMIFS(Deductions!$F$5:$F$504,Deductions!$C$5:$C$504,A15,Deductions!$H$5:$H$504,Settings!$B$4)</f>
        <v/>
      </c>
    </row>
    <row r="16">
      <c r="A16" t="inlineStr">
        <is>
          <t>Internet &amp; Phone</t>
        </is>
      </c>
      <c r="B16" s="7">
        <f>SUMIFS(Deductions!$F$5:$F$504,Deductions!$C$5:$C$504,A16,Deductions!$H$5:$H$504,Settings!$B$4)</f>
        <v/>
      </c>
    </row>
    <row r="17">
      <c r="A17" t="inlineStr">
        <is>
          <t>Marketing &amp; Advertising</t>
        </is>
      </c>
      <c r="B17" s="7">
        <f>SUMIFS(Deductions!$F$5:$F$504,Deductions!$C$5:$C$504,A17,Deductions!$H$5:$H$504,Settings!$B$4)</f>
        <v/>
      </c>
    </row>
    <row r="18">
      <c r="A18" t="inlineStr">
        <is>
          <t>Professional Services</t>
        </is>
      </c>
      <c r="B18" s="7">
        <f>SUMIFS(Deductions!$F$5:$F$504,Deductions!$C$5:$C$504,A18,Deductions!$H$5:$H$504,Settings!$B$4)</f>
        <v/>
      </c>
    </row>
    <row r="19">
      <c r="A19" t="inlineStr">
        <is>
          <t>Education &amp; Training</t>
        </is>
      </c>
      <c r="B19" s="7">
        <f>SUMIFS(Deductions!$F$5:$F$504,Deductions!$C$5:$C$504,A19,Deductions!$H$5:$H$504,Settings!$B$4)</f>
        <v/>
      </c>
    </row>
    <row r="20">
      <c r="A20" t="inlineStr">
        <is>
          <t>Travel</t>
        </is>
      </c>
      <c r="B20" s="7">
        <f>SUMIFS(Deductions!$F$5:$F$504,Deductions!$C$5:$C$504,A20,Deductions!$H$5:$H$504,Settings!$B$4)</f>
        <v/>
      </c>
    </row>
    <row r="21">
      <c r="A21" t="inlineStr">
        <is>
          <t>Meals (50%)</t>
        </is>
      </c>
      <c r="B21" s="7">
        <f>SUMIFS(Deductions!$F$5:$F$504,Deductions!$C$5:$C$504,A21,Deductions!$H$5:$H$504,Settings!$B$4)</f>
        <v/>
      </c>
    </row>
    <row r="22">
      <c r="A22" t="inlineStr">
        <is>
          <t>Contractors &amp; Subcontractors</t>
        </is>
      </c>
      <c r="B22" s="7">
        <f>SUMIFS(Deductions!$F$5:$F$504,Deductions!$C$5:$C$504,A22,Deductions!$H$5:$H$504,Settings!$B$4)</f>
        <v/>
      </c>
    </row>
    <row r="23">
      <c r="A23" t="inlineStr">
        <is>
          <t>Bank &amp; Payment Fees</t>
        </is>
      </c>
      <c r="B23" s="7">
        <f>SUMIFS(Deductions!$F$5:$F$504,Deductions!$C$5:$C$504,A23,Deductions!$H$5:$H$504,Settings!$B$4)</f>
        <v/>
      </c>
    </row>
    <row r="24">
      <c r="A24" t="inlineStr">
        <is>
          <t>Insurance</t>
        </is>
      </c>
      <c r="B24" s="7">
        <f>SUMIFS(Deductions!$F$5:$F$504,Deductions!$C$5:$C$504,A24,Deductions!$H$5:$H$504,Settings!$B$4)</f>
        <v/>
      </c>
    </row>
    <row r="25">
      <c r="A25" t="inlineStr">
        <is>
          <t>Office Supplies</t>
        </is>
      </c>
      <c r="B25" s="7">
        <f>SUMIFS(Deductions!$F$5:$F$504,Deductions!$C$5:$C$504,A25,Deductions!$H$5:$H$504,Settings!$B$4)</f>
        <v/>
      </c>
    </row>
    <row r="26">
      <c r="A26" t="inlineStr">
        <is>
          <t>Other</t>
        </is>
      </c>
      <c r="B26" s="7">
        <f>SUMIFS(Deductions!$F$5:$F$504,Deductions!$C$5:$C$504,A26,Deductions!$H$5:$H$504,Settings!$B$4)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1" t="inlineStr">
        <is>
          <t>Settings</t>
        </is>
      </c>
    </row>
    <row r="2">
      <c r="A2" s="8" t="inlineStr">
        <is>
          <t>Mileage rates are per IRS notices for 2026 - verify at irs.gov before filing.</t>
        </is>
      </c>
    </row>
    <row r="4">
      <c r="A4" t="inlineStr">
        <is>
          <t>Tax year</t>
        </is>
      </c>
      <c r="B4" s="9" t="n">
        <v>2026</v>
      </c>
    </row>
    <row r="5">
      <c r="A5" t="inlineStr">
        <is>
          <t>Business mileage rate, Jan 1 - Jun 30 ($/mile)</t>
        </is>
      </c>
      <c r="B5" s="9" t="n">
        <v>0.725</v>
      </c>
    </row>
    <row r="6">
      <c r="A6" t="inlineStr">
        <is>
          <t>Business mileage rate, from rate-change date ($/mile)</t>
        </is>
      </c>
      <c r="B6" s="9" t="n">
        <v>0.76</v>
      </c>
    </row>
    <row r="7">
      <c r="A7" t="inlineStr">
        <is>
          <t>Rate-change date</t>
        </is>
      </c>
      <c r="B7" s="10" t="n">
        <v>46204</v>
      </c>
    </row>
    <row r="8">
      <c r="A8" t="inlineStr">
        <is>
          <t>Home office: simplified method rate ($/sq ft)</t>
        </is>
      </c>
      <c r="B8" s="9" t="n">
        <v>5</v>
      </c>
    </row>
    <row r="9">
      <c r="A9" t="inlineStr">
        <is>
          <t>Home office: sq ft used exclusively for business (max 300)</t>
        </is>
      </c>
      <c r="B9" s="9" t="n">
        <v>120</v>
      </c>
    </row>
    <row r="10">
      <c r="A10" t="inlineStr">
        <is>
          <t>Total home sq ft (for actual-expense method)</t>
        </is>
      </c>
      <c r="B10" s="9" t="n">
        <v>900</v>
      </c>
    </row>
    <row r="11">
      <c r="A11" t="inlineStr">
        <is>
          <t>Combined marginal tax rate (for savings estimate)</t>
        </is>
      </c>
      <c r="B11" s="11" t="n">
        <v>0.25</v>
      </c>
    </row>
    <row r="13">
      <c r="A13" t="inlineStr">
        <is>
          <t>Note: the mileage rate was reported raised mid-2026 (72.5c to 76c from Jul 1). If your rates differ, just edit B5:B7.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0" customWidth="1" min="5" max="5"/>
    <col width="10" customWidth="1" min="6" max="6"/>
    <col width="14" customWidth="1" min="7" max="7"/>
    <col width="8" customWidth="1" min="8" max="8"/>
  </cols>
  <sheetData>
    <row r="1">
      <c r="A1" s="1" t="inlineStr">
        <is>
          <t>Mileage log</t>
        </is>
      </c>
    </row>
    <row r="2">
      <c r="A2" s="8" t="inlineStr">
        <is>
          <t>Date, purpose and miles. Rate and deduction fill automatically.</t>
        </is>
      </c>
    </row>
    <row r="4" ht="30" customHeight="1">
      <c r="A4" s="12" t="inlineStr">
        <is>
          <t>Date</t>
        </is>
      </c>
      <c r="B4" s="12" t="inlineStr">
        <is>
          <t>Purpose / client</t>
        </is>
      </c>
      <c r="C4" s="12" t="inlineStr">
        <is>
          <t>From</t>
        </is>
      </c>
      <c r="D4" s="12" t="inlineStr">
        <is>
          <t>To</t>
        </is>
      </c>
      <c r="E4" s="12" t="inlineStr">
        <is>
          <t>Miles</t>
        </is>
      </c>
      <c r="F4" s="12" t="inlineStr">
        <is>
          <t>Rate</t>
        </is>
      </c>
      <c r="G4" s="12" t="inlineStr">
        <is>
          <t>Deduction</t>
        </is>
      </c>
      <c r="H4" s="12" t="inlineStr">
        <is>
          <t>Year</t>
        </is>
      </c>
    </row>
    <row r="5">
      <c r="A5" s="10" t="n">
        <v>46084</v>
      </c>
      <c r="B5" s="9" t="inlineStr">
        <is>
          <t>Acme kickoff</t>
        </is>
      </c>
      <c r="C5" s="9" t="inlineStr">
        <is>
          <t>Home</t>
        </is>
      </c>
      <c r="D5" s="9" t="inlineStr">
        <is>
          <t>Acme HQ</t>
        </is>
      </c>
      <c r="E5" s="9" t="n">
        <v>40</v>
      </c>
      <c r="F5" s="13">
        <f>IF(OR(A5="",E5=""),"",IF(A5&gt;=Settings!$B$7,Settings!$B$6,Settings!$B$5))</f>
        <v/>
      </c>
      <c r="G5" s="7">
        <f>IF(F5="","",E5*F5)</f>
        <v/>
      </c>
      <c r="H5">
        <f>IF(A5="","",YEAR(A5))</f>
        <v/>
      </c>
    </row>
    <row r="6">
      <c r="A6" s="10" t="n">
        <v>46193</v>
      </c>
      <c r="B6" s="9" t="inlineStr">
        <is>
          <t>Client visit</t>
        </is>
      </c>
      <c r="C6" s="9" t="inlineStr">
        <is>
          <t>Home</t>
        </is>
      </c>
      <c r="D6" s="9" t="inlineStr">
        <is>
          <t>Cobalt</t>
        </is>
      </c>
      <c r="E6" s="9" t="n">
        <v>100</v>
      </c>
      <c r="F6" s="13">
        <f>IF(OR(A6="",E6=""),"",IF(A6&gt;=Settings!$B$7,Settings!$B$6,Settings!$B$5))</f>
        <v/>
      </c>
      <c r="G6" s="7">
        <f>IF(F6="","",E6*F6)</f>
        <v/>
      </c>
      <c r="H6">
        <f>IF(A6="","",YEAR(A6))</f>
        <v/>
      </c>
    </row>
    <row r="7">
      <c r="A7" s="10" t="n">
        <v>46239</v>
      </c>
      <c r="B7" s="9" t="inlineStr">
        <is>
          <t>Conference</t>
        </is>
      </c>
      <c r="C7" s="9" t="inlineStr">
        <is>
          <t>Home</t>
        </is>
      </c>
      <c r="D7" s="9" t="inlineStr">
        <is>
          <t>Expo</t>
        </is>
      </c>
      <c r="E7" s="9" t="n">
        <v>200</v>
      </c>
      <c r="F7" s="13">
        <f>IF(OR(A7="",E7=""),"",IF(A7&gt;=Settings!$B$7,Settings!$B$6,Settings!$B$5))</f>
        <v/>
      </c>
      <c r="G7" s="7">
        <f>IF(F7="","",E7*F7)</f>
        <v/>
      </c>
      <c r="H7">
        <f>IF(A7="","",YEAR(A7))</f>
        <v/>
      </c>
    </row>
    <row r="8">
      <c r="A8" s="10" t="n">
        <v>45962</v>
      </c>
      <c r="B8" s="9" t="inlineStr">
        <is>
          <t>Old trip</t>
        </is>
      </c>
      <c r="C8" s="9" t="inlineStr">
        <is>
          <t>Home</t>
        </is>
      </c>
      <c r="D8" s="9" t="inlineStr">
        <is>
          <t>X</t>
        </is>
      </c>
      <c r="E8" s="9" t="n">
        <v>999</v>
      </c>
      <c r="F8" s="13">
        <f>IF(OR(A8="",E8=""),"",IF(A8&gt;=Settings!$B$7,Settings!$B$6,Settings!$B$5))</f>
        <v/>
      </c>
      <c r="G8" s="7">
        <f>IF(F8="","",E8*F8)</f>
        <v/>
      </c>
      <c r="H8">
        <f>IF(A8="","",YEAR(A8))</f>
        <v/>
      </c>
    </row>
    <row r="9">
      <c r="A9" s="10" t="n"/>
      <c r="B9" s="9" t="n"/>
      <c r="C9" s="9" t="n"/>
      <c r="D9" s="9" t="n"/>
      <c r="E9" s="9" t="n"/>
      <c r="F9" s="13">
        <f>IF(OR(A9="",E9=""),"",IF(A9&gt;=Settings!$B$7,Settings!$B$6,Settings!$B$5))</f>
        <v/>
      </c>
      <c r="G9" s="7">
        <f>IF(F9="","",E9*F9)</f>
        <v/>
      </c>
      <c r="H9">
        <f>IF(A9="","",YEAR(A9))</f>
        <v/>
      </c>
    </row>
    <row r="10">
      <c r="A10" s="10" t="n"/>
      <c r="B10" s="9" t="n"/>
      <c r="C10" s="9" t="n"/>
      <c r="D10" s="9" t="n"/>
      <c r="E10" s="9" t="n"/>
      <c r="F10" s="13">
        <f>IF(OR(A10="",E10=""),"",IF(A10&gt;=Settings!$B$7,Settings!$B$6,Settings!$B$5))</f>
        <v/>
      </c>
      <c r="G10" s="7">
        <f>IF(F10="","",E10*F10)</f>
        <v/>
      </c>
      <c r="H10">
        <f>IF(A10="","",YEAR(A10))</f>
        <v/>
      </c>
    </row>
    <row r="11">
      <c r="A11" s="10" t="n"/>
      <c r="B11" s="9" t="n"/>
      <c r="C11" s="9" t="n"/>
      <c r="D11" s="9" t="n"/>
      <c r="E11" s="9" t="n"/>
      <c r="F11" s="13">
        <f>IF(OR(A11="",E11=""),"",IF(A11&gt;=Settings!$B$7,Settings!$B$6,Settings!$B$5))</f>
        <v/>
      </c>
      <c r="G11" s="7">
        <f>IF(F11="","",E11*F11)</f>
        <v/>
      </c>
      <c r="H11">
        <f>IF(A11="","",YEAR(A11))</f>
        <v/>
      </c>
    </row>
    <row r="12">
      <c r="A12" s="10" t="n"/>
      <c r="B12" s="9" t="n"/>
      <c r="C12" s="9" t="n"/>
      <c r="D12" s="9" t="n"/>
      <c r="E12" s="9" t="n"/>
      <c r="F12" s="13">
        <f>IF(OR(A12="",E12=""),"",IF(A12&gt;=Settings!$B$7,Settings!$B$6,Settings!$B$5))</f>
        <v/>
      </c>
      <c r="G12" s="7">
        <f>IF(F12="","",E12*F12)</f>
        <v/>
      </c>
      <c r="H12">
        <f>IF(A12="","",YEAR(A12))</f>
        <v/>
      </c>
    </row>
    <row r="13">
      <c r="A13" s="10" t="n"/>
      <c r="B13" s="9" t="n"/>
      <c r="C13" s="9" t="n"/>
      <c r="D13" s="9" t="n"/>
      <c r="E13" s="9" t="n"/>
      <c r="F13" s="13">
        <f>IF(OR(A13="",E13=""),"",IF(A13&gt;=Settings!$B$7,Settings!$B$6,Settings!$B$5))</f>
        <v/>
      </c>
      <c r="G13" s="7">
        <f>IF(F13="","",E13*F13)</f>
        <v/>
      </c>
      <c r="H13">
        <f>IF(A13="","",YEAR(A13))</f>
        <v/>
      </c>
    </row>
    <row r="14">
      <c r="A14" s="10" t="n"/>
      <c r="B14" s="9" t="n"/>
      <c r="C14" s="9" t="n"/>
      <c r="D14" s="9" t="n"/>
      <c r="E14" s="9" t="n"/>
      <c r="F14" s="13">
        <f>IF(OR(A14="",E14=""),"",IF(A14&gt;=Settings!$B$7,Settings!$B$6,Settings!$B$5))</f>
        <v/>
      </c>
      <c r="G14" s="7">
        <f>IF(F14="","",E14*F14)</f>
        <v/>
      </c>
      <c r="H14">
        <f>IF(A14="","",YEAR(A14))</f>
        <v/>
      </c>
    </row>
    <row r="15">
      <c r="A15" s="10" t="n"/>
      <c r="B15" s="9" t="n"/>
      <c r="C15" s="9" t="n"/>
      <c r="D15" s="9" t="n"/>
      <c r="E15" s="9" t="n"/>
      <c r="F15" s="13">
        <f>IF(OR(A15="",E15=""),"",IF(A15&gt;=Settings!$B$7,Settings!$B$6,Settings!$B$5))</f>
        <v/>
      </c>
      <c r="G15" s="7">
        <f>IF(F15="","",E15*F15)</f>
        <v/>
      </c>
      <c r="H15">
        <f>IF(A15="","",YEAR(A15))</f>
        <v/>
      </c>
    </row>
    <row r="16">
      <c r="A16" s="10" t="n"/>
      <c r="B16" s="9" t="n"/>
      <c r="C16" s="9" t="n"/>
      <c r="D16" s="9" t="n"/>
      <c r="E16" s="9" t="n"/>
      <c r="F16" s="13">
        <f>IF(OR(A16="",E16=""),"",IF(A16&gt;=Settings!$B$7,Settings!$B$6,Settings!$B$5))</f>
        <v/>
      </c>
      <c r="G16" s="7">
        <f>IF(F16="","",E16*F16)</f>
        <v/>
      </c>
      <c r="H16">
        <f>IF(A16="","",YEAR(A16))</f>
        <v/>
      </c>
    </row>
    <row r="17">
      <c r="A17" s="10" t="n"/>
      <c r="B17" s="9" t="n"/>
      <c r="C17" s="9" t="n"/>
      <c r="D17" s="9" t="n"/>
      <c r="E17" s="9" t="n"/>
      <c r="F17" s="13">
        <f>IF(OR(A17="",E17=""),"",IF(A17&gt;=Settings!$B$7,Settings!$B$6,Settings!$B$5))</f>
        <v/>
      </c>
      <c r="G17" s="7">
        <f>IF(F17="","",E17*F17)</f>
        <v/>
      </c>
      <c r="H17">
        <f>IF(A17="","",YEAR(A17))</f>
        <v/>
      </c>
    </row>
    <row r="18">
      <c r="A18" s="10" t="n"/>
      <c r="B18" s="9" t="n"/>
      <c r="C18" s="9" t="n"/>
      <c r="D18" s="9" t="n"/>
      <c r="E18" s="9" t="n"/>
      <c r="F18" s="13">
        <f>IF(OR(A18="",E18=""),"",IF(A18&gt;=Settings!$B$7,Settings!$B$6,Settings!$B$5))</f>
        <v/>
      </c>
      <c r="G18" s="7">
        <f>IF(F18="","",E18*F18)</f>
        <v/>
      </c>
      <c r="H18">
        <f>IF(A18="","",YEAR(A18))</f>
        <v/>
      </c>
    </row>
    <row r="19">
      <c r="A19" s="10" t="n"/>
      <c r="B19" s="9" t="n"/>
      <c r="C19" s="9" t="n"/>
      <c r="D19" s="9" t="n"/>
      <c r="E19" s="9" t="n"/>
      <c r="F19" s="13">
        <f>IF(OR(A19="",E19=""),"",IF(A19&gt;=Settings!$B$7,Settings!$B$6,Settings!$B$5))</f>
        <v/>
      </c>
      <c r="G19" s="7">
        <f>IF(F19="","",E19*F19)</f>
        <v/>
      </c>
      <c r="H19">
        <f>IF(A19="","",YEAR(A19))</f>
        <v/>
      </c>
    </row>
    <row r="20">
      <c r="A20" s="10" t="n"/>
      <c r="B20" s="9" t="n"/>
      <c r="C20" s="9" t="n"/>
      <c r="D20" s="9" t="n"/>
      <c r="E20" s="9" t="n"/>
      <c r="F20" s="13">
        <f>IF(OR(A20="",E20=""),"",IF(A20&gt;=Settings!$B$7,Settings!$B$6,Settings!$B$5))</f>
        <v/>
      </c>
      <c r="G20" s="7">
        <f>IF(F20="","",E20*F20)</f>
        <v/>
      </c>
      <c r="H20">
        <f>IF(A20="","",YEAR(A20))</f>
        <v/>
      </c>
    </row>
    <row r="21">
      <c r="A21" s="10" t="n"/>
      <c r="B21" s="9" t="n"/>
      <c r="C21" s="9" t="n"/>
      <c r="D21" s="9" t="n"/>
      <c r="E21" s="9" t="n"/>
      <c r="F21" s="13">
        <f>IF(OR(A21="",E21=""),"",IF(A21&gt;=Settings!$B$7,Settings!$B$6,Settings!$B$5))</f>
        <v/>
      </c>
      <c r="G21" s="7">
        <f>IF(F21="","",E21*F21)</f>
        <v/>
      </c>
      <c r="H21">
        <f>IF(A21="","",YEAR(A21))</f>
        <v/>
      </c>
    </row>
    <row r="22">
      <c r="A22" s="10" t="n"/>
      <c r="B22" s="9" t="n"/>
      <c r="C22" s="9" t="n"/>
      <c r="D22" s="9" t="n"/>
      <c r="E22" s="9" t="n"/>
      <c r="F22" s="13">
        <f>IF(OR(A22="",E22=""),"",IF(A22&gt;=Settings!$B$7,Settings!$B$6,Settings!$B$5))</f>
        <v/>
      </c>
      <c r="G22" s="7">
        <f>IF(F22="","",E22*F22)</f>
        <v/>
      </c>
      <c r="H22">
        <f>IF(A22="","",YEAR(A22))</f>
        <v/>
      </c>
    </row>
    <row r="23">
      <c r="A23" s="10" t="n"/>
      <c r="B23" s="9" t="n"/>
      <c r="C23" s="9" t="n"/>
      <c r="D23" s="9" t="n"/>
      <c r="E23" s="9" t="n"/>
      <c r="F23" s="13">
        <f>IF(OR(A23="",E23=""),"",IF(A23&gt;=Settings!$B$7,Settings!$B$6,Settings!$B$5))</f>
        <v/>
      </c>
      <c r="G23" s="7">
        <f>IF(F23="","",E23*F23)</f>
        <v/>
      </c>
      <c r="H23">
        <f>IF(A23="","",YEAR(A23))</f>
        <v/>
      </c>
    </row>
    <row r="24">
      <c r="A24" s="10" t="n"/>
      <c r="B24" s="9" t="n"/>
      <c r="C24" s="9" t="n"/>
      <c r="D24" s="9" t="n"/>
      <c r="E24" s="9" t="n"/>
      <c r="F24" s="13">
        <f>IF(OR(A24="",E24=""),"",IF(A24&gt;=Settings!$B$7,Settings!$B$6,Settings!$B$5))</f>
        <v/>
      </c>
      <c r="G24" s="7">
        <f>IF(F24="","",E24*F24)</f>
        <v/>
      </c>
      <c r="H24">
        <f>IF(A24="","",YEAR(A24))</f>
        <v/>
      </c>
    </row>
    <row r="25">
      <c r="A25" s="10" t="n"/>
      <c r="B25" s="9" t="n"/>
      <c r="C25" s="9" t="n"/>
      <c r="D25" s="9" t="n"/>
      <c r="E25" s="9" t="n"/>
      <c r="F25" s="13">
        <f>IF(OR(A25="",E25=""),"",IF(A25&gt;=Settings!$B$7,Settings!$B$6,Settings!$B$5))</f>
        <v/>
      </c>
      <c r="G25" s="7">
        <f>IF(F25="","",E25*F25)</f>
        <v/>
      </c>
      <c r="H25">
        <f>IF(A25="","",YEAR(A25))</f>
        <v/>
      </c>
    </row>
    <row r="26">
      <c r="A26" s="10" t="n"/>
      <c r="B26" s="9" t="n"/>
      <c r="C26" s="9" t="n"/>
      <c r="D26" s="9" t="n"/>
      <c r="E26" s="9" t="n"/>
      <c r="F26" s="13">
        <f>IF(OR(A26="",E26=""),"",IF(A26&gt;=Settings!$B$7,Settings!$B$6,Settings!$B$5))</f>
        <v/>
      </c>
      <c r="G26" s="7">
        <f>IF(F26="","",E26*F26)</f>
        <v/>
      </c>
      <c r="H26">
        <f>IF(A26="","",YEAR(A26))</f>
        <v/>
      </c>
    </row>
    <row r="27">
      <c r="A27" s="10" t="n"/>
      <c r="B27" s="9" t="n"/>
      <c r="C27" s="9" t="n"/>
      <c r="D27" s="9" t="n"/>
      <c r="E27" s="9" t="n"/>
      <c r="F27" s="13">
        <f>IF(OR(A27="",E27=""),"",IF(A27&gt;=Settings!$B$7,Settings!$B$6,Settings!$B$5))</f>
        <v/>
      </c>
      <c r="G27" s="7">
        <f>IF(F27="","",E27*F27)</f>
        <v/>
      </c>
      <c r="H27">
        <f>IF(A27="","",YEAR(A27))</f>
        <v/>
      </c>
    </row>
    <row r="28">
      <c r="A28" s="10" t="n"/>
      <c r="B28" s="9" t="n"/>
      <c r="C28" s="9" t="n"/>
      <c r="D28" s="9" t="n"/>
      <c r="E28" s="9" t="n"/>
      <c r="F28" s="13">
        <f>IF(OR(A28="",E28=""),"",IF(A28&gt;=Settings!$B$7,Settings!$B$6,Settings!$B$5))</f>
        <v/>
      </c>
      <c r="G28" s="7">
        <f>IF(F28="","",E28*F28)</f>
        <v/>
      </c>
      <c r="H28">
        <f>IF(A28="","",YEAR(A28))</f>
        <v/>
      </c>
    </row>
    <row r="29">
      <c r="A29" s="10" t="n"/>
      <c r="B29" s="9" t="n"/>
      <c r="C29" s="9" t="n"/>
      <c r="D29" s="9" t="n"/>
      <c r="E29" s="9" t="n"/>
      <c r="F29" s="13">
        <f>IF(OR(A29="",E29=""),"",IF(A29&gt;=Settings!$B$7,Settings!$B$6,Settings!$B$5))</f>
        <v/>
      </c>
      <c r="G29" s="7">
        <f>IF(F29="","",E29*F29)</f>
        <v/>
      </c>
      <c r="H29">
        <f>IF(A29="","",YEAR(A29))</f>
        <v/>
      </c>
    </row>
    <row r="30">
      <c r="A30" s="10" t="n"/>
      <c r="B30" s="9" t="n"/>
      <c r="C30" s="9" t="n"/>
      <c r="D30" s="9" t="n"/>
      <c r="E30" s="9" t="n"/>
      <c r="F30" s="13">
        <f>IF(OR(A30="",E30=""),"",IF(A30&gt;=Settings!$B$7,Settings!$B$6,Settings!$B$5))</f>
        <v/>
      </c>
      <c r="G30" s="7">
        <f>IF(F30="","",E30*F30)</f>
        <v/>
      </c>
      <c r="H30">
        <f>IF(A30="","",YEAR(A30))</f>
        <v/>
      </c>
    </row>
    <row r="31">
      <c r="A31" s="10" t="n"/>
      <c r="B31" s="9" t="n"/>
      <c r="C31" s="9" t="n"/>
      <c r="D31" s="9" t="n"/>
      <c r="E31" s="9" t="n"/>
      <c r="F31" s="13">
        <f>IF(OR(A31="",E31=""),"",IF(A31&gt;=Settings!$B$7,Settings!$B$6,Settings!$B$5))</f>
        <v/>
      </c>
      <c r="G31" s="7">
        <f>IF(F31="","",E31*F31)</f>
        <v/>
      </c>
      <c r="H31">
        <f>IF(A31="","",YEAR(A31))</f>
        <v/>
      </c>
    </row>
    <row r="32">
      <c r="A32" s="10" t="n"/>
      <c r="B32" s="9" t="n"/>
      <c r="C32" s="9" t="n"/>
      <c r="D32" s="9" t="n"/>
      <c r="E32" s="9" t="n"/>
      <c r="F32" s="13">
        <f>IF(OR(A32="",E32=""),"",IF(A32&gt;=Settings!$B$7,Settings!$B$6,Settings!$B$5))</f>
        <v/>
      </c>
      <c r="G32" s="7">
        <f>IF(F32="","",E32*F32)</f>
        <v/>
      </c>
      <c r="H32">
        <f>IF(A32="","",YEAR(A32))</f>
        <v/>
      </c>
    </row>
    <row r="33">
      <c r="A33" s="10" t="n"/>
      <c r="B33" s="9" t="n"/>
      <c r="C33" s="9" t="n"/>
      <c r="D33" s="9" t="n"/>
      <c r="E33" s="9" t="n"/>
      <c r="F33" s="13">
        <f>IF(OR(A33="",E33=""),"",IF(A33&gt;=Settings!$B$7,Settings!$B$6,Settings!$B$5))</f>
        <v/>
      </c>
      <c r="G33" s="7">
        <f>IF(F33="","",E33*F33)</f>
        <v/>
      </c>
      <c r="H33">
        <f>IF(A33="","",YEAR(A33))</f>
        <v/>
      </c>
    </row>
    <row r="34">
      <c r="A34" s="10" t="n"/>
      <c r="B34" s="9" t="n"/>
      <c r="C34" s="9" t="n"/>
      <c r="D34" s="9" t="n"/>
      <c r="E34" s="9" t="n"/>
      <c r="F34" s="13">
        <f>IF(OR(A34="",E34=""),"",IF(A34&gt;=Settings!$B$7,Settings!$B$6,Settings!$B$5))</f>
        <v/>
      </c>
      <c r="G34" s="7">
        <f>IF(F34="","",E34*F34)</f>
        <v/>
      </c>
      <c r="H34">
        <f>IF(A34="","",YEAR(A34))</f>
        <v/>
      </c>
    </row>
    <row r="35">
      <c r="A35" s="10" t="n"/>
      <c r="B35" s="9" t="n"/>
      <c r="C35" s="9" t="n"/>
      <c r="D35" s="9" t="n"/>
      <c r="E35" s="9" t="n"/>
      <c r="F35" s="13">
        <f>IF(OR(A35="",E35=""),"",IF(A35&gt;=Settings!$B$7,Settings!$B$6,Settings!$B$5))</f>
        <v/>
      </c>
      <c r="G35" s="7">
        <f>IF(F35="","",E35*F35)</f>
        <v/>
      </c>
      <c r="H35">
        <f>IF(A35="","",YEAR(A35))</f>
        <v/>
      </c>
    </row>
    <row r="36">
      <c r="A36" s="10" t="n"/>
      <c r="B36" s="9" t="n"/>
      <c r="C36" s="9" t="n"/>
      <c r="D36" s="9" t="n"/>
      <c r="E36" s="9" t="n"/>
      <c r="F36" s="13">
        <f>IF(OR(A36="",E36=""),"",IF(A36&gt;=Settings!$B$7,Settings!$B$6,Settings!$B$5))</f>
        <v/>
      </c>
      <c r="G36" s="7">
        <f>IF(F36="","",E36*F36)</f>
        <v/>
      </c>
      <c r="H36">
        <f>IF(A36="","",YEAR(A36))</f>
        <v/>
      </c>
    </row>
    <row r="37">
      <c r="A37" s="10" t="n"/>
      <c r="B37" s="9" t="n"/>
      <c r="C37" s="9" t="n"/>
      <c r="D37" s="9" t="n"/>
      <c r="E37" s="9" t="n"/>
      <c r="F37" s="13">
        <f>IF(OR(A37="",E37=""),"",IF(A37&gt;=Settings!$B$7,Settings!$B$6,Settings!$B$5))</f>
        <v/>
      </c>
      <c r="G37" s="7">
        <f>IF(F37="","",E37*F37)</f>
        <v/>
      </c>
      <c r="H37">
        <f>IF(A37="","",YEAR(A37))</f>
        <v/>
      </c>
    </row>
    <row r="38">
      <c r="A38" s="10" t="n"/>
      <c r="B38" s="9" t="n"/>
      <c r="C38" s="9" t="n"/>
      <c r="D38" s="9" t="n"/>
      <c r="E38" s="9" t="n"/>
      <c r="F38" s="13">
        <f>IF(OR(A38="",E38=""),"",IF(A38&gt;=Settings!$B$7,Settings!$B$6,Settings!$B$5))</f>
        <v/>
      </c>
      <c r="G38" s="7">
        <f>IF(F38="","",E38*F38)</f>
        <v/>
      </c>
      <c r="H38">
        <f>IF(A38="","",YEAR(A38))</f>
        <v/>
      </c>
    </row>
    <row r="39">
      <c r="A39" s="10" t="n"/>
      <c r="B39" s="9" t="n"/>
      <c r="C39" s="9" t="n"/>
      <c r="D39" s="9" t="n"/>
      <c r="E39" s="9" t="n"/>
      <c r="F39" s="13">
        <f>IF(OR(A39="",E39=""),"",IF(A39&gt;=Settings!$B$7,Settings!$B$6,Settings!$B$5))</f>
        <v/>
      </c>
      <c r="G39" s="7">
        <f>IF(F39="","",E39*F39)</f>
        <v/>
      </c>
      <c r="H39">
        <f>IF(A39="","",YEAR(A39))</f>
        <v/>
      </c>
    </row>
    <row r="40">
      <c r="A40" s="10" t="n"/>
      <c r="B40" s="9" t="n"/>
      <c r="C40" s="9" t="n"/>
      <c r="D40" s="9" t="n"/>
      <c r="E40" s="9" t="n"/>
      <c r="F40" s="13">
        <f>IF(OR(A40="",E40=""),"",IF(A40&gt;=Settings!$B$7,Settings!$B$6,Settings!$B$5))</f>
        <v/>
      </c>
      <c r="G40" s="7">
        <f>IF(F40="","",E40*F40)</f>
        <v/>
      </c>
      <c r="H40">
        <f>IF(A40="","",YEAR(A40))</f>
        <v/>
      </c>
    </row>
    <row r="41">
      <c r="A41" s="10" t="n"/>
      <c r="B41" s="9" t="n"/>
      <c r="C41" s="9" t="n"/>
      <c r="D41" s="9" t="n"/>
      <c r="E41" s="9" t="n"/>
      <c r="F41" s="13">
        <f>IF(OR(A41="",E41=""),"",IF(A41&gt;=Settings!$B$7,Settings!$B$6,Settings!$B$5))</f>
        <v/>
      </c>
      <c r="G41" s="7">
        <f>IF(F41="","",E41*F41)</f>
        <v/>
      </c>
      <c r="H41">
        <f>IF(A41="","",YEAR(A41))</f>
        <v/>
      </c>
    </row>
    <row r="42">
      <c r="A42" s="10" t="n"/>
      <c r="B42" s="9" t="n"/>
      <c r="C42" s="9" t="n"/>
      <c r="D42" s="9" t="n"/>
      <c r="E42" s="9" t="n"/>
      <c r="F42" s="13">
        <f>IF(OR(A42="",E42=""),"",IF(A42&gt;=Settings!$B$7,Settings!$B$6,Settings!$B$5))</f>
        <v/>
      </c>
      <c r="G42" s="7">
        <f>IF(F42="","",E42*F42)</f>
        <v/>
      </c>
      <c r="H42">
        <f>IF(A42="","",YEAR(A42))</f>
        <v/>
      </c>
    </row>
    <row r="43">
      <c r="A43" s="10" t="n"/>
      <c r="B43" s="9" t="n"/>
      <c r="C43" s="9" t="n"/>
      <c r="D43" s="9" t="n"/>
      <c r="E43" s="9" t="n"/>
      <c r="F43" s="13">
        <f>IF(OR(A43="",E43=""),"",IF(A43&gt;=Settings!$B$7,Settings!$B$6,Settings!$B$5))</f>
        <v/>
      </c>
      <c r="G43" s="7">
        <f>IF(F43="","",E43*F43)</f>
        <v/>
      </c>
      <c r="H43">
        <f>IF(A43="","",YEAR(A43))</f>
        <v/>
      </c>
    </row>
    <row r="44">
      <c r="A44" s="10" t="n"/>
      <c r="B44" s="9" t="n"/>
      <c r="C44" s="9" t="n"/>
      <c r="D44" s="9" t="n"/>
      <c r="E44" s="9" t="n"/>
      <c r="F44" s="13">
        <f>IF(OR(A44="",E44=""),"",IF(A44&gt;=Settings!$B$7,Settings!$B$6,Settings!$B$5))</f>
        <v/>
      </c>
      <c r="G44" s="7">
        <f>IF(F44="","",E44*F44)</f>
        <v/>
      </c>
      <c r="H44">
        <f>IF(A44="","",YEAR(A44))</f>
        <v/>
      </c>
    </row>
    <row r="45">
      <c r="A45" s="10" t="n"/>
      <c r="B45" s="9" t="n"/>
      <c r="C45" s="9" t="n"/>
      <c r="D45" s="9" t="n"/>
      <c r="E45" s="9" t="n"/>
      <c r="F45" s="13">
        <f>IF(OR(A45="",E45=""),"",IF(A45&gt;=Settings!$B$7,Settings!$B$6,Settings!$B$5))</f>
        <v/>
      </c>
      <c r="G45" s="7">
        <f>IF(F45="","",E45*F45)</f>
        <v/>
      </c>
      <c r="H45">
        <f>IF(A45="","",YEAR(A45))</f>
        <v/>
      </c>
    </row>
    <row r="46">
      <c r="A46" s="10" t="n"/>
      <c r="B46" s="9" t="n"/>
      <c r="C46" s="9" t="n"/>
      <c r="D46" s="9" t="n"/>
      <c r="E46" s="9" t="n"/>
      <c r="F46" s="13">
        <f>IF(OR(A46="",E46=""),"",IF(A46&gt;=Settings!$B$7,Settings!$B$6,Settings!$B$5))</f>
        <v/>
      </c>
      <c r="G46" s="7">
        <f>IF(F46="","",E46*F46)</f>
        <v/>
      </c>
      <c r="H46">
        <f>IF(A46="","",YEAR(A46))</f>
        <v/>
      </c>
    </row>
    <row r="47">
      <c r="A47" s="10" t="n"/>
      <c r="B47" s="9" t="n"/>
      <c r="C47" s="9" t="n"/>
      <c r="D47" s="9" t="n"/>
      <c r="E47" s="9" t="n"/>
      <c r="F47" s="13">
        <f>IF(OR(A47="",E47=""),"",IF(A47&gt;=Settings!$B$7,Settings!$B$6,Settings!$B$5))</f>
        <v/>
      </c>
      <c r="G47" s="7">
        <f>IF(F47="","",E47*F47)</f>
        <v/>
      </c>
      <c r="H47">
        <f>IF(A47="","",YEAR(A47))</f>
        <v/>
      </c>
    </row>
    <row r="48">
      <c r="A48" s="10" t="n"/>
      <c r="B48" s="9" t="n"/>
      <c r="C48" s="9" t="n"/>
      <c r="D48" s="9" t="n"/>
      <c r="E48" s="9" t="n"/>
      <c r="F48" s="13">
        <f>IF(OR(A48="",E48=""),"",IF(A48&gt;=Settings!$B$7,Settings!$B$6,Settings!$B$5))</f>
        <v/>
      </c>
      <c r="G48" s="7">
        <f>IF(F48="","",E48*F48)</f>
        <v/>
      </c>
      <c r="H48">
        <f>IF(A48="","",YEAR(A48))</f>
        <v/>
      </c>
    </row>
    <row r="49">
      <c r="A49" s="10" t="n"/>
      <c r="B49" s="9" t="n"/>
      <c r="C49" s="9" t="n"/>
      <c r="D49" s="9" t="n"/>
      <c r="E49" s="9" t="n"/>
      <c r="F49" s="13">
        <f>IF(OR(A49="",E49=""),"",IF(A49&gt;=Settings!$B$7,Settings!$B$6,Settings!$B$5))</f>
        <v/>
      </c>
      <c r="G49" s="7">
        <f>IF(F49="","",E49*F49)</f>
        <v/>
      </c>
      <c r="H49">
        <f>IF(A49="","",YEAR(A49))</f>
        <v/>
      </c>
    </row>
    <row r="50">
      <c r="A50" s="10" t="n"/>
      <c r="B50" s="9" t="n"/>
      <c r="C50" s="9" t="n"/>
      <c r="D50" s="9" t="n"/>
      <c r="E50" s="9" t="n"/>
      <c r="F50" s="13">
        <f>IF(OR(A50="",E50=""),"",IF(A50&gt;=Settings!$B$7,Settings!$B$6,Settings!$B$5))</f>
        <v/>
      </c>
      <c r="G50" s="7">
        <f>IF(F50="","",E50*F50)</f>
        <v/>
      </c>
      <c r="H50">
        <f>IF(A50="","",YEAR(A50))</f>
        <v/>
      </c>
    </row>
    <row r="51">
      <c r="A51" s="10" t="n"/>
      <c r="B51" s="9" t="n"/>
      <c r="C51" s="9" t="n"/>
      <c r="D51" s="9" t="n"/>
      <c r="E51" s="9" t="n"/>
      <c r="F51" s="13">
        <f>IF(OR(A51="",E51=""),"",IF(A51&gt;=Settings!$B$7,Settings!$B$6,Settings!$B$5))</f>
        <v/>
      </c>
      <c r="G51" s="7">
        <f>IF(F51="","",E51*F51)</f>
        <v/>
      </c>
      <c r="H51">
        <f>IF(A51="","",YEAR(A51))</f>
        <v/>
      </c>
    </row>
    <row r="52">
      <c r="A52" s="10" t="n"/>
      <c r="B52" s="9" t="n"/>
      <c r="C52" s="9" t="n"/>
      <c r="D52" s="9" t="n"/>
      <c r="E52" s="9" t="n"/>
      <c r="F52" s="13">
        <f>IF(OR(A52="",E52=""),"",IF(A52&gt;=Settings!$B$7,Settings!$B$6,Settings!$B$5))</f>
        <v/>
      </c>
      <c r="G52" s="7">
        <f>IF(F52="","",E52*F52)</f>
        <v/>
      </c>
      <c r="H52">
        <f>IF(A52="","",YEAR(A52))</f>
        <v/>
      </c>
    </row>
    <row r="53">
      <c r="A53" s="10" t="n"/>
      <c r="B53" s="9" t="n"/>
      <c r="C53" s="9" t="n"/>
      <c r="D53" s="9" t="n"/>
      <c r="E53" s="9" t="n"/>
      <c r="F53" s="13">
        <f>IF(OR(A53="",E53=""),"",IF(A53&gt;=Settings!$B$7,Settings!$B$6,Settings!$B$5))</f>
        <v/>
      </c>
      <c r="G53" s="7">
        <f>IF(F53="","",E53*F53)</f>
        <v/>
      </c>
      <c r="H53">
        <f>IF(A53="","",YEAR(A53))</f>
        <v/>
      </c>
    </row>
    <row r="54">
      <c r="A54" s="10" t="n"/>
      <c r="B54" s="9" t="n"/>
      <c r="C54" s="9" t="n"/>
      <c r="D54" s="9" t="n"/>
      <c r="E54" s="9" t="n"/>
      <c r="F54" s="13">
        <f>IF(OR(A54="",E54=""),"",IF(A54&gt;=Settings!$B$7,Settings!$B$6,Settings!$B$5))</f>
        <v/>
      </c>
      <c r="G54" s="7">
        <f>IF(F54="","",E54*F54)</f>
        <v/>
      </c>
      <c r="H54">
        <f>IF(A54="","",YEAR(A54))</f>
        <v/>
      </c>
    </row>
    <row r="55">
      <c r="A55" s="10" t="n"/>
      <c r="B55" s="9" t="n"/>
      <c r="C55" s="9" t="n"/>
      <c r="D55" s="9" t="n"/>
      <c r="E55" s="9" t="n"/>
      <c r="F55" s="13">
        <f>IF(OR(A55="",E55=""),"",IF(A55&gt;=Settings!$B$7,Settings!$B$6,Settings!$B$5))</f>
        <v/>
      </c>
      <c r="G55" s="7">
        <f>IF(F55="","",E55*F55)</f>
        <v/>
      </c>
      <c r="H55">
        <f>IF(A55="","",YEAR(A55))</f>
        <v/>
      </c>
    </row>
    <row r="56">
      <c r="A56" s="10" t="n"/>
      <c r="B56" s="9" t="n"/>
      <c r="C56" s="9" t="n"/>
      <c r="D56" s="9" t="n"/>
      <c r="E56" s="9" t="n"/>
      <c r="F56" s="13">
        <f>IF(OR(A56="",E56=""),"",IF(A56&gt;=Settings!$B$7,Settings!$B$6,Settings!$B$5))</f>
        <v/>
      </c>
      <c r="G56" s="7">
        <f>IF(F56="","",E56*F56)</f>
        <v/>
      </c>
      <c r="H56">
        <f>IF(A56="","",YEAR(A56))</f>
        <v/>
      </c>
    </row>
    <row r="57">
      <c r="A57" s="10" t="n"/>
      <c r="B57" s="9" t="n"/>
      <c r="C57" s="9" t="n"/>
      <c r="D57" s="9" t="n"/>
      <c r="E57" s="9" t="n"/>
      <c r="F57" s="13">
        <f>IF(OR(A57="",E57=""),"",IF(A57&gt;=Settings!$B$7,Settings!$B$6,Settings!$B$5))</f>
        <v/>
      </c>
      <c r="G57" s="7">
        <f>IF(F57="","",E57*F57)</f>
        <v/>
      </c>
      <c r="H57">
        <f>IF(A57="","",YEAR(A57))</f>
        <v/>
      </c>
    </row>
    <row r="58">
      <c r="A58" s="10" t="n"/>
      <c r="B58" s="9" t="n"/>
      <c r="C58" s="9" t="n"/>
      <c r="D58" s="9" t="n"/>
      <c r="E58" s="9" t="n"/>
      <c r="F58" s="13">
        <f>IF(OR(A58="",E58=""),"",IF(A58&gt;=Settings!$B$7,Settings!$B$6,Settings!$B$5))</f>
        <v/>
      </c>
      <c r="G58" s="7">
        <f>IF(F58="","",E58*F58)</f>
        <v/>
      </c>
      <c r="H58">
        <f>IF(A58="","",YEAR(A58))</f>
        <v/>
      </c>
    </row>
    <row r="59">
      <c r="A59" s="10" t="n"/>
      <c r="B59" s="9" t="n"/>
      <c r="C59" s="9" t="n"/>
      <c r="D59" s="9" t="n"/>
      <c r="E59" s="9" t="n"/>
      <c r="F59" s="13">
        <f>IF(OR(A59="",E59=""),"",IF(A59&gt;=Settings!$B$7,Settings!$B$6,Settings!$B$5))</f>
        <v/>
      </c>
      <c r="G59" s="7">
        <f>IF(F59="","",E59*F59)</f>
        <v/>
      </c>
      <c r="H59">
        <f>IF(A59="","",YEAR(A59))</f>
        <v/>
      </c>
    </row>
    <row r="60">
      <c r="A60" s="10" t="n"/>
      <c r="B60" s="9" t="n"/>
      <c r="C60" s="9" t="n"/>
      <c r="D60" s="9" t="n"/>
      <c r="E60" s="9" t="n"/>
      <c r="F60" s="13">
        <f>IF(OR(A60="",E60=""),"",IF(A60&gt;=Settings!$B$7,Settings!$B$6,Settings!$B$5))</f>
        <v/>
      </c>
      <c r="G60" s="7">
        <f>IF(F60="","",E60*F60)</f>
        <v/>
      </c>
      <c r="H60">
        <f>IF(A60="","",YEAR(A60))</f>
        <v/>
      </c>
    </row>
    <row r="61">
      <c r="A61" s="10" t="n"/>
      <c r="B61" s="9" t="n"/>
      <c r="C61" s="9" t="n"/>
      <c r="D61" s="9" t="n"/>
      <c r="E61" s="9" t="n"/>
      <c r="F61" s="13">
        <f>IF(OR(A61="",E61=""),"",IF(A61&gt;=Settings!$B$7,Settings!$B$6,Settings!$B$5))</f>
        <v/>
      </c>
      <c r="G61" s="7">
        <f>IF(F61="","",E61*F61)</f>
        <v/>
      </c>
      <c r="H61">
        <f>IF(A61="","",YEAR(A61))</f>
        <v/>
      </c>
    </row>
    <row r="62">
      <c r="A62" s="10" t="n"/>
      <c r="B62" s="9" t="n"/>
      <c r="C62" s="9" t="n"/>
      <c r="D62" s="9" t="n"/>
      <c r="E62" s="9" t="n"/>
      <c r="F62" s="13">
        <f>IF(OR(A62="",E62=""),"",IF(A62&gt;=Settings!$B$7,Settings!$B$6,Settings!$B$5))</f>
        <v/>
      </c>
      <c r="G62" s="7">
        <f>IF(F62="","",E62*F62)</f>
        <v/>
      </c>
      <c r="H62">
        <f>IF(A62="","",YEAR(A62))</f>
        <v/>
      </c>
    </row>
    <row r="63">
      <c r="A63" s="10" t="n"/>
      <c r="B63" s="9" t="n"/>
      <c r="C63" s="9" t="n"/>
      <c r="D63" s="9" t="n"/>
      <c r="E63" s="9" t="n"/>
      <c r="F63" s="13">
        <f>IF(OR(A63="",E63=""),"",IF(A63&gt;=Settings!$B$7,Settings!$B$6,Settings!$B$5))</f>
        <v/>
      </c>
      <c r="G63" s="7">
        <f>IF(F63="","",E63*F63)</f>
        <v/>
      </c>
      <c r="H63">
        <f>IF(A63="","",YEAR(A63))</f>
        <v/>
      </c>
    </row>
    <row r="64">
      <c r="A64" s="10" t="n"/>
      <c r="B64" s="9" t="n"/>
      <c r="C64" s="9" t="n"/>
      <c r="D64" s="9" t="n"/>
      <c r="E64" s="9" t="n"/>
      <c r="F64" s="13">
        <f>IF(OR(A64="",E64=""),"",IF(A64&gt;=Settings!$B$7,Settings!$B$6,Settings!$B$5))</f>
        <v/>
      </c>
      <c r="G64" s="7">
        <f>IF(F64="","",E64*F64)</f>
        <v/>
      </c>
      <c r="H64">
        <f>IF(A64="","",YEAR(A64))</f>
        <v/>
      </c>
    </row>
    <row r="65">
      <c r="A65" s="10" t="n"/>
      <c r="B65" s="9" t="n"/>
      <c r="C65" s="9" t="n"/>
      <c r="D65" s="9" t="n"/>
      <c r="E65" s="9" t="n"/>
      <c r="F65" s="13">
        <f>IF(OR(A65="",E65=""),"",IF(A65&gt;=Settings!$B$7,Settings!$B$6,Settings!$B$5))</f>
        <v/>
      </c>
      <c r="G65" s="7">
        <f>IF(F65="","",E65*F65)</f>
        <v/>
      </c>
      <c r="H65">
        <f>IF(A65="","",YEAR(A65))</f>
        <v/>
      </c>
    </row>
    <row r="66">
      <c r="A66" s="10" t="n"/>
      <c r="B66" s="9" t="n"/>
      <c r="C66" s="9" t="n"/>
      <c r="D66" s="9" t="n"/>
      <c r="E66" s="9" t="n"/>
      <c r="F66" s="13">
        <f>IF(OR(A66="",E66=""),"",IF(A66&gt;=Settings!$B$7,Settings!$B$6,Settings!$B$5))</f>
        <v/>
      </c>
      <c r="G66" s="7">
        <f>IF(F66="","",E66*F66)</f>
        <v/>
      </c>
      <c r="H66">
        <f>IF(A66="","",YEAR(A66))</f>
        <v/>
      </c>
    </row>
    <row r="67">
      <c r="A67" s="10" t="n"/>
      <c r="B67" s="9" t="n"/>
      <c r="C67" s="9" t="n"/>
      <c r="D67" s="9" t="n"/>
      <c r="E67" s="9" t="n"/>
      <c r="F67" s="13">
        <f>IF(OR(A67="",E67=""),"",IF(A67&gt;=Settings!$B$7,Settings!$B$6,Settings!$B$5))</f>
        <v/>
      </c>
      <c r="G67" s="7">
        <f>IF(F67="","",E67*F67)</f>
        <v/>
      </c>
      <c r="H67">
        <f>IF(A67="","",YEAR(A67))</f>
        <v/>
      </c>
    </row>
    <row r="68">
      <c r="A68" s="10" t="n"/>
      <c r="B68" s="9" t="n"/>
      <c r="C68" s="9" t="n"/>
      <c r="D68" s="9" t="n"/>
      <c r="E68" s="9" t="n"/>
      <c r="F68" s="13">
        <f>IF(OR(A68="",E68=""),"",IF(A68&gt;=Settings!$B$7,Settings!$B$6,Settings!$B$5))</f>
        <v/>
      </c>
      <c r="G68" s="7">
        <f>IF(F68="","",E68*F68)</f>
        <v/>
      </c>
      <c r="H68">
        <f>IF(A68="","",YEAR(A68))</f>
        <v/>
      </c>
    </row>
    <row r="69">
      <c r="A69" s="10" t="n"/>
      <c r="B69" s="9" t="n"/>
      <c r="C69" s="9" t="n"/>
      <c r="D69" s="9" t="n"/>
      <c r="E69" s="9" t="n"/>
      <c r="F69" s="13">
        <f>IF(OR(A69="",E69=""),"",IF(A69&gt;=Settings!$B$7,Settings!$B$6,Settings!$B$5))</f>
        <v/>
      </c>
      <c r="G69" s="7">
        <f>IF(F69="","",E69*F69)</f>
        <v/>
      </c>
      <c r="H69">
        <f>IF(A69="","",YEAR(A69))</f>
        <v/>
      </c>
    </row>
    <row r="70">
      <c r="A70" s="10" t="n"/>
      <c r="B70" s="9" t="n"/>
      <c r="C70" s="9" t="n"/>
      <c r="D70" s="9" t="n"/>
      <c r="E70" s="9" t="n"/>
      <c r="F70" s="13">
        <f>IF(OR(A70="",E70=""),"",IF(A70&gt;=Settings!$B$7,Settings!$B$6,Settings!$B$5))</f>
        <v/>
      </c>
      <c r="G70" s="7">
        <f>IF(F70="","",E70*F70)</f>
        <v/>
      </c>
      <c r="H70">
        <f>IF(A70="","",YEAR(A70))</f>
        <v/>
      </c>
    </row>
    <row r="71">
      <c r="A71" s="10" t="n"/>
      <c r="B71" s="9" t="n"/>
      <c r="C71" s="9" t="n"/>
      <c r="D71" s="9" t="n"/>
      <c r="E71" s="9" t="n"/>
      <c r="F71" s="13">
        <f>IF(OR(A71="",E71=""),"",IF(A71&gt;=Settings!$B$7,Settings!$B$6,Settings!$B$5))</f>
        <v/>
      </c>
      <c r="G71" s="7">
        <f>IF(F71="","",E71*F71)</f>
        <v/>
      </c>
      <c r="H71">
        <f>IF(A71="","",YEAR(A71))</f>
        <v/>
      </c>
    </row>
    <row r="72">
      <c r="A72" s="10" t="n"/>
      <c r="B72" s="9" t="n"/>
      <c r="C72" s="9" t="n"/>
      <c r="D72" s="9" t="n"/>
      <c r="E72" s="9" t="n"/>
      <c r="F72" s="13">
        <f>IF(OR(A72="",E72=""),"",IF(A72&gt;=Settings!$B$7,Settings!$B$6,Settings!$B$5))</f>
        <v/>
      </c>
      <c r="G72" s="7">
        <f>IF(F72="","",E72*F72)</f>
        <v/>
      </c>
      <c r="H72">
        <f>IF(A72="","",YEAR(A72))</f>
        <v/>
      </c>
    </row>
    <row r="73">
      <c r="A73" s="10" t="n"/>
      <c r="B73" s="9" t="n"/>
      <c r="C73" s="9" t="n"/>
      <c r="D73" s="9" t="n"/>
      <c r="E73" s="9" t="n"/>
      <c r="F73" s="13">
        <f>IF(OR(A73="",E73=""),"",IF(A73&gt;=Settings!$B$7,Settings!$B$6,Settings!$B$5))</f>
        <v/>
      </c>
      <c r="G73" s="7">
        <f>IF(F73="","",E73*F73)</f>
        <v/>
      </c>
      <c r="H73">
        <f>IF(A73="","",YEAR(A73))</f>
        <v/>
      </c>
    </row>
    <row r="74">
      <c r="A74" s="10" t="n"/>
      <c r="B74" s="9" t="n"/>
      <c r="C74" s="9" t="n"/>
      <c r="D74" s="9" t="n"/>
      <c r="E74" s="9" t="n"/>
      <c r="F74" s="13">
        <f>IF(OR(A74="",E74=""),"",IF(A74&gt;=Settings!$B$7,Settings!$B$6,Settings!$B$5))</f>
        <v/>
      </c>
      <c r="G74" s="7">
        <f>IF(F74="","",E74*F74)</f>
        <v/>
      </c>
      <c r="H74">
        <f>IF(A74="","",YEAR(A74))</f>
        <v/>
      </c>
    </row>
    <row r="75">
      <c r="A75" s="10" t="n"/>
      <c r="B75" s="9" t="n"/>
      <c r="C75" s="9" t="n"/>
      <c r="D75" s="9" t="n"/>
      <c r="E75" s="9" t="n"/>
      <c r="F75" s="13">
        <f>IF(OR(A75="",E75=""),"",IF(A75&gt;=Settings!$B$7,Settings!$B$6,Settings!$B$5))</f>
        <v/>
      </c>
      <c r="G75" s="7">
        <f>IF(F75="","",E75*F75)</f>
        <v/>
      </c>
      <c r="H75">
        <f>IF(A75="","",YEAR(A75))</f>
        <v/>
      </c>
    </row>
    <row r="76">
      <c r="A76" s="10" t="n"/>
      <c r="B76" s="9" t="n"/>
      <c r="C76" s="9" t="n"/>
      <c r="D76" s="9" t="n"/>
      <c r="E76" s="9" t="n"/>
      <c r="F76" s="13">
        <f>IF(OR(A76="",E76=""),"",IF(A76&gt;=Settings!$B$7,Settings!$B$6,Settings!$B$5))</f>
        <v/>
      </c>
      <c r="G76" s="7">
        <f>IF(F76="","",E76*F76)</f>
        <v/>
      </c>
      <c r="H76">
        <f>IF(A76="","",YEAR(A76))</f>
        <v/>
      </c>
    </row>
    <row r="77">
      <c r="A77" s="10" t="n"/>
      <c r="B77" s="9" t="n"/>
      <c r="C77" s="9" t="n"/>
      <c r="D77" s="9" t="n"/>
      <c r="E77" s="9" t="n"/>
      <c r="F77" s="13">
        <f>IF(OR(A77="",E77=""),"",IF(A77&gt;=Settings!$B$7,Settings!$B$6,Settings!$B$5))</f>
        <v/>
      </c>
      <c r="G77" s="7">
        <f>IF(F77="","",E77*F77)</f>
        <v/>
      </c>
      <c r="H77">
        <f>IF(A77="","",YEAR(A77))</f>
        <v/>
      </c>
    </row>
    <row r="78">
      <c r="A78" s="10" t="n"/>
      <c r="B78" s="9" t="n"/>
      <c r="C78" s="9" t="n"/>
      <c r="D78" s="9" t="n"/>
      <c r="E78" s="9" t="n"/>
      <c r="F78" s="13">
        <f>IF(OR(A78="",E78=""),"",IF(A78&gt;=Settings!$B$7,Settings!$B$6,Settings!$B$5))</f>
        <v/>
      </c>
      <c r="G78" s="7">
        <f>IF(F78="","",E78*F78)</f>
        <v/>
      </c>
      <c r="H78">
        <f>IF(A78="","",YEAR(A78))</f>
        <v/>
      </c>
    </row>
    <row r="79">
      <c r="A79" s="10" t="n"/>
      <c r="B79" s="9" t="n"/>
      <c r="C79" s="9" t="n"/>
      <c r="D79" s="9" t="n"/>
      <c r="E79" s="9" t="n"/>
      <c r="F79" s="13">
        <f>IF(OR(A79="",E79=""),"",IF(A79&gt;=Settings!$B$7,Settings!$B$6,Settings!$B$5))</f>
        <v/>
      </c>
      <c r="G79" s="7">
        <f>IF(F79="","",E79*F79)</f>
        <v/>
      </c>
      <c r="H79">
        <f>IF(A79="","",YEAR(A79))</f>
        <v/>
      </c>
    </row>
    <row r="80">
      <c r="A80" s="10" t="n"/>
      <c r="B80" s="9" t="n"/>
      <c r="C80" s="9" t="n"/>
      <c r="D80" s="9" t="n"/>
      <c r="E80" s="9" t="n"/>
      <c r="F80" s="13">
        <f>IF(OR(A80="",E80=""),"",IF(A80&gt;=Settings!$B$7,Settings!$B$6,Settings!$B$5))</f>
        <v/>
      </c>
      <c r="G80" s="7">
        <f>IF(F80="","",E80*F80)</f>
        <v/>
      </c>
      <c r="H80">
        <f>IF(A80="","",YEAR(A80))</f>
        <v/>
      </c>
    </row>
    <row r="81">
      <c r="A81" s="10" t="n"/>
      <c r="B81" s="9" t="n"/>
      <c r="C81" s="9" t="n"/>
      <c r="D81" s="9" t="n"/>
      <c r="E81" s="9" t="n"/>
      <c r="F81" s="13">
        <f>IF(OR(A81="",E81=""),"",IF(A81&gt;=Settings!$B$7,Settings!$B$6,Settings!$B$5))</f>
        <v/>
      </c>
      <c r="G81" s="7">
        <f>IF(F81="","",E81*F81)</f>
        <v/>
      </c>
      <c r="H81">
        <f>IF(A81="","",YEAR(A81))</f>
        <v/>
      </c>
    </row>
    <row r="82">
      <c r="A82" s="10" t="n"/>
      <c r="B82" s="9" t="n"/>
      <c r="C82" s="9" t="n"/>
      <c r="D82" s="9" t="n"/>
      <c r="E82" s="9" t="n"/>
      <c r="F82" s="13">
        <f>IF(OR(A82="",E82=""),"",IF(A82&gt;=Settings!$B$7,Settings!$B$6,Settings!$B$5))</f>
        <v/>
      </c>
      <c r="G82" s="7">
        <f>IF(F82="","",E82*F82)</f>
        <v/>
      </c>
      <c r="H82">
        <f>IF(A82="","",YEAR(A82))</f>
        <v/>
      </c>
    </row>
    <row r="83">
      <c r="A83" s="10" t="n"/>
      <c r="B83" s="9" t="n"/>
      <c r="C83" s="9" t="n"/>
      <c r="D83" s="9" t="n"/>
      <c r="E83" s="9" t="n"/>
      <c r="F83" s="13">
        <f>IF(OR(A83="",E83=""),"",IF(A83&gt;=Settings!$B$7,Settings!$B$6,Settings!$B$5))</f>
        <v/>
      </c>
      <c r="G83" s="7">
        <f>IF(F83="","",E83*F83)</f>
        <v/>
      </c>
      <c r="H83">
        <f>IF(A83="","",YEAR(A83))</f>
        <v/>
      </c>
    </row>
    <row r="84">
      <c r="A84" s="10" t="n"/>
      <c r="B84" s="9" t="n"/>
      <c r="C84" s="9" t="n"/>
      <c r="D84" s="9" t="n"/>
      <c r="E84" s="9" t="n"/>
      <c r="F84" s="13">
        <f>IF(OR(A84="",E84=""),"",IF(A84&gt;=Settings!$B$7,Settings!$B$6,Settings!$B$5))</f>
        <v/>
      </c>
      <c r="G84" s="7">
        <f>IF(F84="","",E84*F84)</f>
        <v/>
      </c>
      <c r="H84">
        <f>IF(A84="","",YEAR(A84))</f>
        <v/>
      </c>
    </row>
    <row r="85">
      <c r="A85" s="10" t="n"/>
      <c r="B85" s="9" t="n"/>
      <c r="C85" s="9" t="n"/>
      <c r="D85" s="9" t="n"/>
      <c r="E85" s="9" t="n"/>
      <c r="F85" s="13">
        <f>IF(OR(A85="",E85=""),"",IF(A85&gt;=Settings!$B$7,Settings!$B$6,Settings!$B$5))</f>
        <v/>
      </c>
      <c r="G85" s="7">
        <f>IF(F85="","",E85*F85)</f>
        <v/>
      </c>
      <c r="H85">
        <f>IF(A85="","",YEAR(A85))</f>
        <v/>
      </c>
    </row>
    <row r="86">
      <c r="A86" s="10" t="n"/>
      <c r="B86" s="9" t="n"/>
      <c r="C86" s="9" t="n"/>
      <c r="D86" s="9" t="n"/>
      <c r="E86" s="9" t="n"/>
      <c r="F86" s="13">
        <f>IF(OR(A86="",E86=""),"",IF(A86&gt;=Settings!$B$7,Settings!$B$6,Settings!$B$5))</f>
        <v/>
      </c>
      <c r="G86" s="7">
        <f>IF(F86="","",E86*F86)</f>
        <v/>
      </c>
      <c r="H86">
        <f>IF(A86="","",YEAR(A86))</f>
        <v/>
      </c>
    </row>
    <row r="87">
      <c r="A87" s="10" t="n"/>
      <c r="B87" s="9" t="n"/>
      <c r="C87" s="9" t="n"/>
      <c r="D87" s="9" t="n"/>
      <c r="E87" s="9" t="n"/>
      <c r="F87" s="13">
        <f>IF(OR(A87="",E87=""),"",IF(A87&gt;=Settings!$B$7,Settings!$B$6,Settings!$B$5))</f>
        <v/>
      </c>
      <c r="G87" s="7">
        <f>IF(F87="","",E87*F87)</f>
        <v/>
      </c>
      <c r="H87">
        <f>IF(A87="","",YEAR(A87))</f>
        <v/>
      </c>
    </row>
    <row r="88">
      <c r="A88" s="10" t="n"/>
      <c r="B88" s="9" t="n"/>
      <c r="C88" s="9" t="n"/>
      <c r="D88" s="9" t="n"/>
      <c r="E88" s="9" t="n"/>
      <c r="F88" s="13">
        <f>IF(OR(A88="",E88=""),"",IF(A88&gt;=Settings!$B$7,Settings!$B$6,Settings!$B$5))</f>
        <v/>
      </c>
      <c r="G88" s="7">
        <f>IF(F88="","",E88*F88)</f>
        <v/>
      </c>
      <c r="H88">
        <f>IF(A88="","",YEAR(A88))</f>
        <v/>
      </c>
    </row>
    <row r="89">
      <c r="A89" s="10" t="n"/>
      <c r="B89" s="9" t="n"/>
      <c r="C89" s="9" t="n"/>
      <c r="D89" s="9" t="n"/>
      <c r="E89" s="9" t="n"/>
      <c r="F89" s="13">
        <f>IF(OR(A89="",E89=""),"",IF(A89&gt;=Settings!$B$7,Settings!$B$6,Settings!$B$5))</f>
        <v/>
      </c>
      <c r="G89" s="7">
        <f>IF(F89="","",E89*F89)</f>
        <v/>
      </c>
      <c r="H89">
        <f>IF(A89="","",YEAR(A89))</f>
        <v/>
      </c>
    </row>
    <row r="90">
      <c r="A90" s="10" t="n"/>
      <c r="B90" s="9" t="n"/>
      <c r="C90" s="9" t="n"/>
      <c r="D90" s="9" t="n"/>
      <c r="E90" s="9" t="n"/>
      <c r="F90" s="13">
        <f>IF(OR(A90="",E90=""),"",IF(A90&gt;=Settings!$B$7,Settings!$B$6,Settings!$B$5))</f>
        <v/>
      </c>
      <c r="G90" s="7">
        <f>IF(F90="","",E90*F90)</f>
        <v/>
      </c>
      <c r="H90">
        <f>IF(A90="","",YEAR(A90))</f>
        <v/>
      </c>
    </row>
    <row r="91">
      <c r="A91" s="10" t="n"/>
      <c r="B91" s="9" t="n"/>
      <c r="C91" s="9" t="n"/>
      <c r="D91" s="9" t="n"/>
      <c r="E91" s="9" t="n"/>
      <c r="F91" s="13">
        <f>IF(OR(A91="",E91=""),"",IF(A91&gt;=Settings!$B$7,Settings!$B$6,Settings!$B$5))</f>
        <v/>
      </c>
      <c r="G91" s="7">
        <f>IF(F91="","",E91*F91)</f>
        <v/>
      </c>
      <c r="H91">
        <f>IF(A91="","",YEAR(A91))</f>
        <v/>
      </c>
    </row>
    <row r="92">
      <c r="A92" s="10" t="n"/>
      <c r="B92" s="9" t="n"/>
      <c r="C92" s="9" t="n"/>
      <c r="D92" s="9" t="n"/>
      <c r="E92" s="9" t="n"/>
      <c r="F92" s="13">
        <f>IF(OR(A92="",E92=""),"",IF(A92&gt;=Settings!$B$7,Settings!$B$6,Settings!$B$5))</f>
        <v/>
      </c>
      <c r="G92" s="7">
        <f>IF(F92="","",E92*F92)</f>
        <v/>
      </c>
      <c r="H92">
        <f>IF(A92="","",YEAR(A92))</f>
        <v/>
      </c>
    </row>
    <row r="93">
      <c r="A93" s="10" t="n"/>
      <c r="B93" s="9" t="n"/>
      <c r="C93" s="9" t="n"/>
      <c r="D93" s="9" t="n"/>
      <c r="E93" s="9" t="n"/>
      <c r="F93" s="13">
        <f>IF(OR(A93="",E93=""),"",IF(A93&gt;=Settings!$B$7,Settings!$B$6,Settings!$B$5))</f>
        <v/>
      </c>
      <c r="G93" s="7">
        <f>IF(F93="","",E93*F93)</f>
        <v/>
      </c>
      <c r="H93">
        <f>IF(A93="","",YEAR(A93))</f>
        <v/>
      </c>
    </row>
    <row r="94">
      <c r="A94" s="10" t="n"/>
      <c r="B94" s="9" t="n"/>
      <c r="C94" s="9" t="n"/>
      <c r="D94" s="9" t="n"/>
      <c r="E94" s="9" t="n"/>
      <c r="F94" s="13">
        <f>IF(OR(A94="",E94=""),"",IF(A94&gt;=Settings!$B$7,Settings!$B$6,Settings!$B$5))</f>
        <v/>
      </c>
      <c r="G94" s="7">
        <f>IF(F94="","",E94*F94)</f>
        <v/>
      </c>
      <c r="H94">
        <f>IF(A94="","",YEAR(A94))</f>
        <v/>
      </c>
    </row>
    <row r="95">
      <c r="A95" s="10" t="n"/>
      <c r="B95" s="9" t="n"/>
      <c r="C95" s="9" t="n"/>
      <c r="D95" s="9" t="n"/>
      <c r="E95" s="9" t="n"/>
      <c r="F95" s="13">
        <f>IF(OR(A95="",E95=""),"",IF(A95&gt;=Settings!$B$7,Settings!$B$6,Settings!$B$5))</f>
        <v/>
      </c>
      <c r="G95" s="7">
        <f>IF(F95="","",E95*F95)</f>
        <v/>
      </c>
      <c r="H95">
        <f>IF(A95="","",YEAR(A95))</f>
        <v/>
      </c>
    </row>
    <row r="96">
      <c r="A96" s="10" t="n"/>
      <c r="B96" s="9" t="n"/>
      <c r="C96" s="9" t="n"/>
      <c r="D96" s="9" t="n"/>
      <c r="E96" s="9" t="n"/>
      <c r="F96" s="13">
        <f>IF(OR(A96="",E96=""),"",IF(A96&gt;=Settings!$B$7,Settings!$B$6,Settings!$B$5))</f>
        <v/>
      </c>
      <c r="G96" s="7">
        <f>IF(F96="","",E96*F96)</f>
        <v/>
      </c>
      <c r="H96">
        <f>IF(A96="","",YEAR(A96))</f>
        <v/>
      </c>
    </row>
    <row r="97">
      <c r="A97" s="10" t="n"/>
      <c r="B97" s="9" t="n"/>
      <c r="C97" s="9" t="n"/>
      <c r="D97" s="9" t="n"/>
      <c r="E97" s="9" t="n"/>
      <c r="F97" s="13">
        <f>IF(OR(A97="",E97=""),"",IF(A97&gt;=Settings!$B$7,Settings!$B$6,Settings!$B$5))</f>
        <v/>
      </c>
      <c r="G97" s="7">
        <f>IF(F97="","",E97*F97)</f>
        <v/>
      </c>
      <c r="H97">
        <f>IF(A97="","",YEAR(A97))</f>
        <v/>
      </c>
    </row>
    <row r="98">
      <c r="A98" s="10" t="n"/>
      <c r="B98" s="9" t="n"/>
      <c r="C98" s="9" t="n"/>
      <c r="D98" s="9" t="n"/>
      <c r="E98" s="9" t="n"/>
      <c r="F98" s="13">
        <f>IF(OR(A98="",E98=""),"",IF(A98&gt;=Settings!$B$7,Settings!$B$6,Settings!$B$5))</f>
        <v/>
      </c>
      <c r="G98" s="7">
        <f>IF(F98="","",E98*F98)</f>
        <v/>
      </c>
      <c r="H98">
        <f>IF(A98="","",YEAR(A98))</f>
        <v/>
      </c>
    </row>
    <row r="99">
      <c r="A99" s="10" t="n"/>
      <c r="B99" s="9" t="n"/>
      <c r="C99" s="9" t="n"/>
      <c r="D99" s="9" t="n"/>
      <c r="E99" s="9" t="n"/>
      <c r="F99" s="13">
        <f>IF(OR(A99="",E99=""),"",IF(A99&gt;=Settings!$B$7,Settings!$B$6,Settings!$B$5))</f>
        <v/>
      </c>
      <c r="G99" s="7">
        <f>IF(F99="","",E99*F99)</f>
        <v/>
      </c>
      <c r="H99">
        <f>IF(A99="","",YEAR(A99))</f>
        <v/>
      </c>
    </row>
    <row r="100">
      <c r="A100" s="10" t="n"/>
      <c r="B100" s="9" t="n"/>
      <c r="C100" s="9" t="n"/>
      <c r="D100" s="9" t="n"/>
      <c r="E100" s="9" t="n"/>
      <c r="F100" s="13">
        <f>IF(OR(A100="",E100=""),"",IF(A100&gt;=Settings!$B$7,Settings!$B$6,Settings!$B$5))</f>
        <v/>
      </c>
      <c r="G100" s="7">
        <f>IF(F100="","",E100*F100)</f>
        <v/>
      </c>
      <c r="H100">
        <f>IF(A100="","",YEAR(A100))</f>
        <v/>
      </c>
    </row>
    <row r="101">
      <c r="A101" s="10" t="n"/>
      <c r="B101" s="9" t="n"/>
      <c r="C101" s="9" t="n"/>
      <c r="D101" s="9" t="n"/>
      <c r="E101" s="9" t="n"/>
      <c r="F101" s="13">
        <f>IF(OR(A101="",E101=""),"",IF(A101&gt;=Settings!$B$7,Settings!$B$6,Settings!$B$5))</f>
        <v/>
      </c>
      <c r="G101" s="7">
        <f>IF(F101="","",E101*F101)</f>
        <v/>
      </c>
      <c r="H101">
        <f>IF(A101="","",YEAR(A101))</f>
        <v/>
      </c>
    </row>
    <row r="102">
      <c r="A102" s="10" t="n"/>
      <c r="B102" s="9" t="n"/>
      <c r="C102" s="9" t="n"/>
      <c r="D102" s="9" t="n"/>
      <c r="E102" s="9" t="n"/>
      <c r="F102" s="13">
        <f>IF(OR(A102="",E102=""),"",IF(A102&gt;=Settings!$B$7,Settings!$B$6,Settings!$B$5))</f>
        <v/>
      </c>
      <c r="G102" s="7">
        <f>IF(F102="","",E102*F102)</f>
        <v/>
      </c>
      <c r="H102">
        <f>IF(A102="","",YEAR(A102))</f>
        <v/>
      </c>
    </row>
    <row r="103">
      <c r="A103" s="10" t="n"/>
      <c r="B103" s="9" t="n"/>
      <c r="C103" s="9" t="n"/>
      <c r="D103" s="9" t="n"/>
      <c r="E103" s="9" t="n"/>
      <c r="F103" s="13">
        <f>IF(OR(A103="",E103=""),"",IF(A103&gt;=Settings!$B$7,Settings!$B$6,Settings!$B$5))</f>
        <v/>
      </c>
      <c r="G103" s="7">
        <f>IF(F103="","",E103*F103)</f>
        <v/>
      </c>
      <c r="H103">
        <f>IF(A103="","",YEAR(A103))</f>
        <v/>
      </c>
    </row>
    <row r="104">
      <c r="A104" s="10" t="n"/>
      <c r="B104" s="9" t="n"/>
      <c r="C104" s="9" t="n"/>
      <c r="D104" s="9" t="n"/>
      <c r="E104" s="9" t="n"/>
      <c r="F104" s="13">
        <f>IF(OR(A104="",E104=""),"",IF(A104&gt;=Settings!$B$7,Settings!$B$6,Settings!$B$5))</f>
        <v/>
      </c>
      <c r="G104" s="7">
        <f>IF(F104="","",E104*F104)</f>
        <v/>
      </c>
      <c r="H104">
        <f>IF(A104="","",YEAR(A104))</f>
        <v/>
      </c>
    </row>
    <row r="105">
      <c r="A105" s="10" t="n"/>
      <c r="B105" s="9" t="n"/>
      <c r="C105" s="9" t="n"/>
      <c r="D105" s="9" t="n"/>
      <c r="E105" s="9" t="n"/>
      <c r="F105" s="13">
        <f>IF(OR(A105="",E105=""),"",IF(A105&gt;=Settings!$B$7,Settings!$B$6,Settings!$B$5))</f>
        <v/>
      </c>
      <c r="G105" s="7">
        <f>IF(F105="","",E105*F105)</f>
        <v/>
      </c>
      <c r="H105">
        <f>IF(A105="","",YEAR(A105))</f>
        <v/>
      </c>
    </row>
    <row r="106">
      <c r="A106" s="10" t="n"/>
      <c r="B106" s="9" t="n"/>
      <c r="C106" s="9" t="n"/>
      <c r="D106" s="9" t="n"/>
      <c r="E106" s="9" t="n"/>
      <c r="F106" s="13">
        <f>IF(OR(A106="",E106=""),"",IF(A106&gt;=Settings!$B$7,Settings!$B$6,Settings!$B$5))</f>
        <v/>
      </c>
      <c r="G106" s="7">
        <f>IF(F106="","",E106*F106)</f>
        <v/>
      </c>
      <c r="H106">
        <f>IF(A106="","",YEAR(A106))</f>
        <v/>
      </c>
    </row>
    <row r="107">
      <c r="A107" s="10" t="n"/>
      <c r="B107" s="9" t="n"/>
      <c r="C107" s="9" t="n"/>
      <c r="D107" s="9" t="n"/>
      <c r="E107" s="9" t="n"/>
      <c r="F107" s="13">
        <f>IF(OR(A107="",E107=""),"",IF(A107&gt;=Settings!$B$7,Settings!$B$6,Settings!$B$5))</f>
        <v/>
      </c>
      <c r="G107" s="7">
        <f>IF(F107="","",E107*F107)</f>
        <v/>
      </c>
      <c r="H107">
        <f>IF(A107="","",YEAR(A107))</f>
        <v/>
      </c>
    </row>
    <row r="108">
      <c r="A108" s="10" t="n"/>
      <c r="B108" s="9" t="n"/>
      <c r="C108" s="9" t="n"/>
      <c r="D108" s="9" t="n"/>
      <c r="E108" s="9" t="n"/>
      <c r="F108" s="13">
        <f>IF(OR(A108="",E108=""),"",IF(A108&gt;=Settings!$B$7,Settings!$B$6,Settings!$B$5))</f>
        <v/>
      </c>
      <c r="G108" s="7">
        <f>IF(F108="","",E108*F108)</f>
        <v/>
      </c>
      <c r="H108">
        <f>IF(A108="","",YEAR(A108))</f>
        <v/>
      </c>
    </row>
    <row r="109">
      <c r="A109" s="10" t="n"/>
      <c r="B109" s="9" t="n"/>
      <c r="C109" s="9" t="n"/>
      <c r="D109" s="9" t="n"/>
      <c r="E109" s="9" t="n"/>
      <c r="F109" s="13">
        <f>IF(OR(A109="",E109=""),"",IF(A109&gt;=Settings!$B$7,Settings!$B$6,Settings!$B$5))</f>
        <v/>
      </c>
      <c r="G109" s="7">
        <f>IF(F109="","",E109*F109)</f>
        <v/>
      </c>
      <c r="H109">
        <f>IF(A109="","",YEAR(A109))</f>
        <v/>
      </c>
    </row>
    <row r="110">
      <c r="A110" s="10" t="n"/>
      <c r="B110" s="9" t="n"/>
      <c r="C110" s="9" t="n"/>
      <c r="D110" s="9" t="n"/>
      <c r="E110" s="9" t="n"/>
      <c r="F110" s="13">
        <f>IF(OR(A110="",E110=""),"",IF(A110&gt;=Settings!$B$7,Settings!$B$6,Settings!$B$5))</f>
        <v/>
      </c>
      <c r="G110" s="7">
        <f>IF(F110="","",E110*F110)</f>
        <v/>
      </c>
      <c r="H110">
        <f>IF(A110="","",YEAR(A110))</f>
        <v/>
      </c>
    </row>
    <row r="111">
      <c r="A111" s="10" t="n"/>
      <c r="B111" s="9" t="n"/>
      <c r="C111" s="9" t="n"/>
      <c r="D111" s="9" t="n"/>
      <c r="E111" s="9" t="n"/>
      <c r="F111" s="13">
        <f>IF(OR(A111="",E111=""),"",IF(A111&gt;=Settings!$B$7,Settings!$B$6,Settings!$B$5))</f>
        <v/>
      </c>
      <c r="G111" s="7">
        <f>IF(F111="","",E111*F111)</f>
        <v/>
      </c>
      <c r="H111">
        <f>IF(A111="","",YEAR(A111))</f>
        <v/>
      </c>
    </row>
    <row r="112">
      <c r="A112" s="10" t="n"/>
      <c r="B112" s="9" t="n"/>
      <c r="C112" s="9" t="n"/>
      <c r="D112" s="9" t="n"/>
      <c r="E112" s="9" t="n"/>
      <c r="F112" s="13">
        <f>IF(OR(A112="",E112=""),"",IF(A112&gt;=Settings!$B$7,Settings!$B$6,Settings!$B$5))</f>
        <v/>
      </c>
      <c r="G112" s="7">
        <f>IF(F112="","",E112*F112)</f>
        <v/>
      </c>
      <c r="H112">
        <f>IF(A112="","",YEAR(A112))</f>
        <v/>
      </c>
    </row>
    <row r="113">
      <c r="A113" s="10" t="n"/>
      <c r="B113" s="9" t="n"/>
      <c r="C113" s="9" t="n"/>
      <c r="D113" s="9" t="n"/>
      <c r="E113" s="9" t="n"/>
      <c r="F113" s="13">
        <f>IF(OR(A113="",E113=""),"",IF(A113&gt;=Settings!$B$7,Settings!$B$6,Settings!$B$5))</f>
        <v/>
      </c>
      <c r="G113" s="7">
        <f>IF(F113="","",E113*F113)</f>
        <v/>
      </c>
      <c r="H113">
        <f>IF(A113="","",YEAR(A113))</f>
        <v/>
      </c>
    </row>
    <row r="114">
      <c r="A114" s="10" t="n"/>
      <c r="B114" s="9" t="n"/>
      <c r="C114" s="9" t="n"/>
      <c r="D114" s="9" t="n"/>
      <c r="E114" s="9" t="n"/>
      <c r="F114" s="13">
        <f>IF(OR(A114="",E114=""),"",IF(A114&gt;=Settings!$B$7,Settings!$B$6,Settings!$B$5))</f>
        <v/>
      </c>
      <c r="G114" s="7">
        <f>IF(F114="","",E114*F114)</f>
        <v/>
      </c>
      <c r="H114">
        <f>IF(A114="","",YEAR(A114))</f>
        <v/>
      </c>
    </row>
    <row r="115">
      <c r="A115" s="10" t="n"/>
      <c r="B115" s="9" t="n"/>
      <c r="C115" s="9" t="n"/>
      <c r="D115" s="9" t="n"/>
      <c r="E115" s="9" t="n"/>
      <c r="F115" s="13">
        <f>IF(OR(A115="",E115=""),"",IF(A115&gt;=Settings!$B$7,Settings!$B$6,Settings!$B$5))</f>
        <v/>
      </c>
      <c r="G115" s="7">
        <f>IF(F115="","",E115*F115)</f>
        <v/>
      </c>
      <c r="H115">
        <f>IF(A115="","",YEAR(A115))</f>
        <v/>
      </c>
    </row>
    <row r="116">
      <c r="A116" s="10" t="n"/>
      <c r="B116" s="9" t="n"/>
      <c r="C116" s="9" t="n"/>
      <c r="D116" s="9" t="n"/>
      <c r="E116" s="9" t="n"/>
      <c r="F116" s="13">
        <f>IF(OR(A116="",E116=""),"",IF(A116&gt;=Settings!$B$7,Settings!$B$6,Settings!$B$5))</f>
        <v/>
      </c>
      <c r="G116" s="7">
        <f>IF(F116="","",E116*F116)</f>
        <v/>
      </c>
      <c r="H116">
        <f>IF(A116="","",YEAR(A116))</f>
        <v/>
      </c>
    </row>
    <row r="117">
      <c r="A117" s="10" t="n"/>
      <c r="B117" s="9" t="n"/>
      <c r="C117" s="9" t="n"/>
      <c r="D117" s="9" t="n"/>
      <c r="E117" s="9" t="n"/>
      <c r="F117" s="13">
        <f>IF(OR(A117="",E117=""),"",IF(A117&gt;=Settings!$B$7,Settings!$B$6,Settings!$B$5))</f>
        <v/>
      </c>
      <c r="G117" s="7">
        <f>IF(F117="","",E117*F117)</f>
        <v/>
      </c>
      <c r="H117">
        <f>IF(A117="","",YEAR(A117))</f>
        <v/>
      </c>
    </row>
    <row r="118">
      <c r="A118" s="10" t="n"/>
      <c r="B118" s="9" t="n"/>
      <c r="C118" s="9" t="n"/>
      <c r="D118" s="9" t="n"/>
      <c r="E118" s="9" t="n"/>
      <c r="F118" s="13">
        <f>IF(OR(A118="",E118=""),"",IF(A118&gt;=Settings!$B$7,Settings!$B$6,Settings!$B$5))</f>
        <v/>
      </c>
      <c r="G118" s="7">
        <f>IF(F118="","",E118*F118)</f>
        <v/>
      </c>
      <c r="H118">
        <f>IF(A118="","",YEAR(A118))</f>
        <v/>
      </c>
    </row>
    <row r="119">
      <c r="A119" s="10" t="n"/>
      <c r="B119" s="9" t="n"/>
      <c r="C119" s="9" t="n"/>
      <c r="D119" s="9" t="n"/>
      <c r="E119" s="9" t="n"/>
      <c r="F119" s="13">
        <f>IF(OR(A119="",E119=""),"",IF(A119&gt;=Settings!$B$7,Settings!$B$6,Settings!$B$5))</f>
        <v/>
      </c>
      <c r="G119" s="7">
        <f>IF(F119="","",E119*F119)</f>
        <v/>
      </c>
      <c r="H119">
        <f>IF(A119="","",YEAR(A119))</f>
        <v/>
      </c>
    </row>
    <row r="120">
      <c r="A120" s="10" t="n"/>
      <c r="B120" s="9" t="n"/>
      <c r="C120" s="9" t="n"/>
      <c r="D120" s="9" t="n"/>
      <c r="E120" s="9" t="n"/>
      <c r="F120" s="13">
        <f>IF(OR(A120="",E120=""),"",IF(A120&gt;=Settings!$B$7,Settings!$B$6,Settings!$B$5))</f>
        <v/>
      </c>
      <c r="G120" s="7">
        <f>IF(F120="","",E120*F120)</f>
        <v/>
      </c>
      <c r="H120">
        <f>IF(A120="","",YEAR(A120))</f>
        <v/>
      </c>
    </row>
    <row r="121">
      <c r="A121" s="10" t="n"/>
      <c r="B121" s="9" t="n"/>
      <c r="C121" s="9" t="n"/>
      <c r="D121" s="9" t="n"/>
      <c r="E121" s="9" t="n"/>
      <c r="F121" s="13">
        <f>IF(OR(A121="",E121=""),"",IF(A121&gt;=Settings!$B$7,Settings!$B$6,Settings!$B$5))</f>
        <v/>
      </c>
      <c r="G121" s="7">
        <f>IF(F121="","",E121*F121)</f>
        <v/>
      </c>
      <c r="H121">
        <f>IF(A121="","",YEAR(A121))</f>
        <v/>
      </c>
    </row>
    <row r="122">
      <c r="A122" s="10" t="n"/>
      <c r="B122" s="9" t="n"/>
      <c r="C122" s="9" t="n"/>
      <c r="D122" s="9" t="n"/>
      <c r="E122" s="9" t="n"/>
      <c r="F122" s="13">
        <f>IF(OR(A122="",E122=""),"",IF(A122&gt;=Settings!$B$7,Settings!$B$6,Settings!$B$5))</f>
        <v/>
      </c>
      <c r="G122" s="7">
        <f>IF(F122="","",E122*F122)</f>
        <v/>
      </c>
      <c r="H122">
        <f>IF(A122="","",YEAR(A122))</f>
        <v/>
      </c>
    </row>
    <row r="123">
      <c r="A123" s="10" t="n"/>
      <c r="B123" s="9" t="n"/>
      <c r="C123" s="9" t="n"/>
      <c r="D123" s="9" t="n"/>
      <c r="E123" s="9" t="n"/>
      <c r="F123" s="13">
        <f>IF(OR(A123="",E123=""),"",IF(A123&gt;=Settings!$B$7,Settings!$B$6,Settings!$B$5))</f>
        <v/>
      </c>
      <c r="G123" s="7">
        <f>IF(F123="","",E123*F123)</f>
        <v/>
      </c>
      <c r="H123">
        <f>IF(A123="","",YEAR(A123))</f>
        <v/>
      </c>
    </row>
    <row r="124">
      <c r="A124" s="10" t="n"/>
      <c r="B124" s="9" t="n"/>
      <c r="C124" s="9" t="n"/>
      <c r="D124" s="9" t="n"/>
      <c r="E124" s="9" t="n"/>
      <c r="F124" s="13">
        <f>IF(OR(A124="",E124=""),"",IF(A124&gt;=Settings!$B$7,Settings!$B$6,Settings!$B$5))</f>
        <v/>
      </c>
      <c r="G124" s="7">
        <f>IF(F124="","",E124*F124)</f>
        <v/>
      </c>
      <c r="H124">
        <f>IF(A124="","",YEAR(A124))</f>
        <v/>
      </c>
    </row>
    <row r="125">
      <c r="A125" s="10" t="n"/>
      <c r="B125" s="9" t="n"/>
      <c r="C125" s="9" t="n"/>
      <c r="D125" s="9" t="n"/>
      <c r="E125" s="9" t="n"/>
      <c r="F125" s="13">
        <f>IF(OR(A125="",E125=""),"",IF(A125&gt;=Settings!$B$7,Settings!$B$6,Settings!$B$5))</f>
        <v/>
      </c>
      <c r="G125" s="7">
        <f>IF(F125="","",E125*F125)</f>
        <v/>
      </c>
      <c r="H125">
        <f>IF(A125="","",YEAR(A125))</f>
        <v/>
      </c>
    </row>
    <row r="126">
      <c r="A126" s="10" t="n"/>
      <c r="B126" s="9" t="n"/>
      <c r="C126" s="9" t="n"/>
      <c r="D126" s="9" t="n"/>
      <c r="E126" s="9" t="n"/>
      <c r="F126" s="13">
        <f>IF(OR(A126="",E126=""),"",IF(A126&gt;=Settings!$B$7,Settings!$B$6,Settings!$B$5))</f>
        <v/>
      </c>
      <c r="G126" s="7">
        <f>IF(F126="","",E126*F126)</f>
        <v/>
      </c>
      <c r="H126">
        <f>IF(A126="","",YEAR(A126))</f>
        <v/>
      </c>
    </row>
    <row r="127">
      <c r="A127" s="10" t="n"/>
      <c r="B127" s="9" t="n"/>
      <c r="C127" s="9" t="n"/>
      <c r="D127" s="9" t="n"/>
      <c r="E127" s="9" t="n"/>
      <c r="F127" s="13">
        <f>IF(OR(A127="",E127=""),"",IF(A127&gt;=Settings!$B$7,Settings!$B$6,Settings!$B$5))</f>
        <v/>
      </c>
      <c r="G127" s="7">
        <f>IF(F127="","",E127*F127)</f>
        <v/>
      </c>
      <c r="H127">
        <f>IF(A127="","",YEAR(A127))</f>
        <v/>
      </c>
    </row>
    <row r="128">
      <c r="A128" s="10" t="n"/>
      <c r="B128" s="9" t="n"/>
      <c r="C128" s="9" t="n"/>
      <c r="D128" s="9" t="n"/>
      <c r="E128" s="9" t="n"/>
      <c r="F128" s="13">
        <f>IF(OR(A128="",E128=""),"",IF(A128&gt;=Settings!$B$7,Settings!$B$6,Settings!$B$5))</f>
        <v/>
      </c>
      <c r="G128" s="7">
        <f>IF(F128="","",E128*F128)</f>
        <v/>
      </c>
      <c r="H128">
        <f>IF(A128="","",YEAR(A128))</f>
        <v/>
      </c>
    </row>
    <row r="129">
      <c r="A129" s="10" t="n"/>
      <c r="B129" s="9" t="n"/>
      <c r="C129" s="9" t="n"/>
      <c r="D129" s="9" t="n"/>
      <c r="E129" s="9" t="n"/>
      <c r="F129" s="13">
        <f>IF(OR(A129="",E129=""),"",IF(A129&gt;=Settings!$B$7,Settings!$B$6,Settings!$B$5))</f>
        <v/>
      </c>
      <c r="G129" s="7">
        <f>IF(F129="","",E129*F129)</f>
        <v/>
      </c>
      <c r="H129">
        <f>IF(A129="","",YEAR(A129))</f>
        <v/>
      </c>
    </row>
    <row r="130">
      <c r="A130" s="10" t="n"/>
      <c r="B130" s="9" t="n"/>
      <c r="C130" s="9" t="n"/>
      <c r="D130" s="9" t="n"/>
      <c r="E130" s="9" t="n"/>
      <c r="F130" s="13">
        <f>IF(OR(A130="",E130=""),"",IF(A130&gt;=Settings!$B$7,Settings!$B$6,Settings!$B$5))</f>
        <v/>
      </c>
      <c r="G130" s="7">
        <f>IF(F130="","",E130*F130)</f>
        <v/>
      </c>
      <c r="H130">
        <f>IF(A130="","",YEAR(A130))</f>
        <v/>
      </c>
    </row>
    <row r="131">
      <c r="A131" s="10" t="n"/>
      <c r="B131" s="9" t="n"/>
      <c r="C131" s="9" t="n"/>
      <c r="D131" s="9" t="n"/>
      <c r="E131" s="9" t="n"/>
      <c r="F131" s="13">
        <f>IF(OR(A131="",E131=""),"",IF(A131&gt;=Settings!$B$7,Settings!$B$6,Settings!$B$5))</f>
        <v/>
      </c>
      <c r="G131" s="7">
        <f>IF(F131="","",E131*F131)</f>
        <v/>
      </c>
      <c r="H131">
        <f>IF(A131="","",YEAR(A131))</f>
        <v/>
      </c>
    </row>
    <row r="132">
      <c r="A132" s="10" t="n"/>
      <c r="B132" s="9" t="n"/>
      <c r="C132" s="9" t="n"/>
      <c r="D132" s="9" t="n"/>
      <c r="E132" s="9" t="n"/>
      <c r="F132" s="13">
        <f>IF(OR(A132="",E132=""),"",IF(A132&gt;=Settings!$B$7,Settings!$B$6,Settings!$B$5))</f>
        <v/>
      </c>
      <c r="G132" s="7">
        <f>IF(F132="","",E132*F132)</f>
        <v/>
      </c>
      <c r="H132">
        <f>IF(A132="","",YEAR(A132))</f>
        <v/>
      </c>
    </row>
    <row r="133">
      <c r="A133" s="10" t="n"/>
      <c r="B133" s="9" t="n"/>
      <c r="C133" s="9" t="n"/>
      <c r="D133" s="9" t="n"/>
      <c r="E133" s="9" t="n"/>
      <c r="F133" s="13">
        <f>IF(OR(A133="",E133=""),"",IF(A133&gt;=Settings!$B$7,Settings!$B$6,Settings!$B$5))</f>
        <v/>
      </c>
      <c r="G133" s="7">
        <f>IF(F133="","",E133*F133)</f>
        <v/>
      </c>
      <c r="H133">
        <f>IF(A133="","",YEAR(A133))</f>
        <v/>
      </c>
    </row>
    <row r="134">
      <c r="A134" s="10" t="n"/>
      <c r="B134" s="9" t="n"/>
      <c r="C134" s="9" t="n"/>
      <c r="D134" s="9" t="n"/>
      <c r="E134" s="9" t="n"/>
      <c r="F134" s="13">
        <f>IF(OR(A134="",E134=""),"",IF(A134&gt;=Settings!$B$7,Settings!$B$6,Settings!$B$5))</f>
        <v/>
      </c>
      <c r="G134" s="7">
        <f>IF(F134="","",E134*F134)</f>
        <v/>
      </c>
      <c r="H134">
        <f>IF(A134="","",YEAR(A134))</f>
        <v/>
      </c>
    </row>
    <row r="135">
      <c r="A135" s="10" t="n"/>
      <c r="B135" s="9" t="n"/>
      <c r="C135" s="9" t="n"/>
      <c r="D135" s="9" t="n"/>
      <c r="E135" s="9" t="n"/>
      <c r="F135" s="13">
        <f>IF(OR(A135="",E135=""),"",IF(A135&gt;=Settings!$B$7,Settings!$B$6,Settings!$B$5))</f>
        <v/>
      </c>
      <c r="G135" s="7">
        <f>IF(F135="","",E135*F135)</f>
        <v/>
      </c>
      <c r="H135">
        <f>IF(A135="","",YEAR(A135))</f>
        <v/>
      </c>
    </row>
    <row r="136">
      <c r="A136" s="10" t="n"/>
      <c r="B136" s="9" t="n"/>
      <c r="C136" s="9" t="n"/>
      <c r="D136" s="9" t="n"/>
      <c r="E136" s="9" t="n"/>
      <c r="F136" s="13">
        <f>IF(OR(A136="",E136=""),"",IF(A136&gt;=Settings!$B$7,Settings!$B$6,Settings!$B$5))</f>
        <v/>
      </c>
      <c r="G136" s="7">
        <f>IF(F136="","",E136*F136)</f>
        <v/>
      </c>
      <c r="H136">
        <f>IF(A136="","",YEAR(A136))</f>
        <v/>
      </c>
    </row>
    <row r="137">
      <c r="A137" s="10" t="n"/>
      <c r="B137" s="9" t="n"/>
      <c r="C137" s="9" t="n"/>
      <c r="D137" s="9" t="n"/>
      <c r="E137" s="9" t="n"/>
      <c r="F137" s="13">
        <f>IF(OR(A137="",E137=""),"",IF(A137&gt;=Settings!$B$7,Settings!$B$6,Settings!$B$5))</f>
        <v/>
      </c>
      <c r="G137" s="7">
        <f>IF(F137="","",E137*F137)</f>
        <v/>
      </c>
      <c r="H137">
        <f>IF(A137="","",YEAR(A137))</f>
        <v/>
      </c>
    </row>
    <row r="138">
      <c r="A138" s="10" t="n"/>
      <c r="B138" s="9" t="n"/>
      <c r="C138" s="9" t="n"/>
      <c r="D138" s="9" t="n"/>
      <c r="E138" s="9" t="n"/>
      <c r="F138" s="13">
        <f>IF(OR(A138="",E138=""),"",IF(A138&gt;=Settings!$B$7,Settings!$B$6,Settings!$B$5))</f>
        <v/>
      </c>
      <c r="G138" s="7">
        <f>IF(F138="","",E138*F138)</f>
        <v/>
      </c>
      <c r="H138">
        <f>IF(A138="","",YEAR(A138))</f>
        <v/>
      </c>
    </row>
    <row r="139">
      <c r="A139" s="10" t="n"/>
      <c r="B139" s="9" t="n"/>
      <c r="C139" s="9" t="n"/>
      <c r="D139" s="9" t="n"/>
      <c r="E139" s="9" t="n"/>
      <c r="F139" s="13">
        <f>IF(OR(A139="",E139=""),"",IF(A139&gt;=Settings!$B$7,Settings!$B$6,Settings!$B$5))</f>
        <v/>
      </c>
      <c r="G139" s="7">
        <f>IF(F139="","",E139*F139)</f>
        <v/>
      </c>
      <c r="H139">
        <f>IF(A139="","",YEAR(A139))</f>
        <v/>
      </c>
    </row>
    <row r="140">
      <c r="A140" s="10" t="n"/>
      <c r="B140" s="9" t="n"/>
      <c r="C140" s="9" t="n"/>
      <c r="D140" s="9" t="n"/>
      <c r="E140" s="9" t="n"/>
      <c r="F140" s="13">
        <f>IF(OR(A140="",E140=""),"",IF(A140&gt;=Settings!$B$7,Settings!$B$6,Settings!$B$5))</f>
        <v/>
      </c>
      <c r="G140" s="7">
        <f>IF(F140="","",E140*F140)</f>
        <v/>
      </c>
      <c r="H140">
        <f>IF(A140="","",YEAR(A140))</f>
        <v/>
      </c>
    </row>
    <row r="141">
      <c r="A141" s="10" t="n"/>
      <c r="B141" s="9" t="n"/>
      <c r="C141" s="9" t="n"/>
      <c r="D141" s="9" t="n"/>
      <c r="E141" s="9" t="n"/>
      <c r="F141" s="13">
        <f>IF(OR(A141="",E141=""),"",IF(A141&gt;=Settings!$B$7,Settings!$B$6,Settings!$B$5))</f>
        <v/>
      </c>
      <c r="G141" s="7">
        <f>IF(F141="","",E141*F141)</f>
        <v/>
      </c>
      <c r="H141">
        <f>IF(A141="","",YEAR(A141))</f>
        <v/>
      </c>
    </row>
    <row r="142">
      <c r="A142" s="10" t="n"/>
      <c r="B142" s="9" t="n"/>
      <c r="C142" s="9" t="n"/>
      <c r="D142" s="9" t="n"/>
      <c r="E142" s="9" t="n"/>
      <c r="F142" s="13">
        <f>IF(OR(A142="",E142=""),"",IF(A142&gt;=Settings!$B$7,Settings!$B$6,Settings!$B$5))</f>
        <v/>
      </c>
      <c r="G142" s="7">
        <f>IF(F142="","",E142*F142)</f>
        <v/>
      </c>
      <c r="H142">
        <f>IF(A142="","",YEAR(A142))</f>
        <v/>
      </c>
    </row>
    <row r="143">
      <c r="A143" s="10" t="n"/>
      <c r="B143" s="9" t="n"/>
      <c r="C143" s="9" t="n"/>
      <c r="D143" s="9" t="n"/>
      <c r="E143" s="9" t="n"/>
      <c r="F143" s="13">
        <f>IF(OR(A143="",E143=""),"",IF(A143&gt;=Settings!$B$7,Settings!$B$6,Settings!$B$5))</f>
        <v/>
      </c>
      <c r="G143" s="7">
        <f>IF(F143="","",E143*F143)</f>
        <v/>
      </c>
      <c r="H143">
        <f>IF(A143="","",YEAR(A143))</f>
        <v/>
      </c>
    </row>
    <row r="144">
      <c r="A144" s="10" t="n"/>
      <c r="B144" s="9" t="n"/>
      <c r="C144" s="9" t="n"/>
      <c r="D144" s="9" t="n"/>
      <c r="E144" s="9" t="n"/>
      <c r="F144" s="13">
        <f>IF(OR(A144="",E144=""),"",IF(A144&gt;=Settings!$B$7,Settings!$B$6,Settings!$B$5))</f>
        <v/>
      </c>
      <c r="G144" s="7">
        <f>IF(F144="","",E144*F144)</f>
        <v/>
      </c>
      <c r="H144">
        <f>IF(A144="","",YEAR(A144))</f>
        <v/>
      </c>
    </row>
    <row r="145">
      <c r="A145" s="10" t="n"/>
      <c r="B145" s="9" t="n"/>
      <c r="C145" s="9" t="n"/>
      <c r="D145" s="9" t="n"/>
      <c r="E145" s="9" t="n"/>
      <c r="F145" s="13">
        <f>IF(OR(A145="",E145=""),"",IF(A145&gt;=Settings!$B$7,Settings!$B$6,Settings!$B$5))</f>
        <v/>
      </c>
      <c r="G145" s="7">
        <f>IF(F145="","",E145*F145)</f>
        <v/>
      </c>
      <c r="H145">
        <f>IF(A145="","",YEAR(A145))</f>
        <v/>
      </c>
    </row>
    <row r="146">
      <c r="A146" s="10" t="n"/>
      <c r="B146" s="9" t="n"/>
      <c r="C146" s="9" t="n"/>
      <c r="D146" s="9" t="n"/>
      <c r="E146" s="9" t="n"/>
      <c r="F146" s="13">
        <f>IF(OR(A146="",E146=""),"",IF(A146&gt;=Settings!$B$7,Settings!$B$6,Settings!$B$5))</f>
        <v/>
      </c>
      <c r="G146" s="7">
        <f>IF(F146="","",E146*F146)</f>
        <v/>
      </c>
      <c r="H146">
        <f>IF(A146="","",YEAR(A146))</f>
        <v/>
      </c>
    </row>
    <row r="147">
      <c r="A147" s="10" t="n"/>
      <c r="B147" s="9" t="n"/>
      <c r="C147" s="9" t="n"/>
      <c r="D147" s="9" t="n"/>
      <c r="E147" s="9" t="n"/>
      <c r="F147" s="13">
        <f>IF(OR(A147="",E147=""),"",IF(A147&gt;=Settings!$B$7,Settings!$B$6,Settings!$B$5))</f>
        <v/>
      </c>
      <c r="G147" s="7">
        <f>IF(F147="","",E147*F147)</f>
        <v/>
      </c>
      <c r="H147">
        <f>IF(A147="","",YEAR(A147))</f>
        <v/>
      </c>
    </row>
    <row r="148">
      <c r="A148" s="10" t="n"/>
      <c r="B148" s="9" t="n"/>
      <c r="C148" s="9" t="n"/>
      <c r="D148" s="9" t="n"/>
      <c r="E148" s="9" t="n"/>
      <c r="F148" s="13">
        <f>IF(OR(A148="",E148=""),"",IF(A148&gt;=Settings!$B$7,Settings!$B$6,Settings!$B$5))</f>
        <v/>
      </c>
      <c r="G148" s="7">
        <f>IF(F148="","",E148*F148)</f>
        <v/>
      </c>
      <c r="H148">
        <f>IF(A148="","",YEAR(A148))</f>
        <v/>
      </c>
    </row>
    <row r="149">
      <c r="A149" s="10" t="n"/>
      <c r="B149" s="9" t="n"/>
      <c r="C149" s="9" t="n"/>
      <c r="D149" s="9" t="n"/>
      <c r="E149" s="9" t="n"/>
      <c r="F149" s="13">
        <f>IF(OR(A149="",E149=""),"",IF(A149&gt;=Settings!$B$7,Settings!$B$6,Settings!$B$5))</f>
        <v/>
      </c>
      <c r="G149" s="7">
        <f>IF(F149="","",E149*F149)</f>
        <v/>
      </c>
      <c r="H149">
        <f>IF(A149="","",YEAR(A149))</f>
        <v/>
      </c>
    </row>
    <row r="150">
      <c r="A150" s="10" t="n"/>
      <c r="B150" s="9" t="n"/>
      <c r="C150" s="9" t="n"/>
      <c r="D150" s="9" t="n"/>
      <c r="E150" s="9" t="n"/>
      <c r="F150" s="13">
        <f>IF(OR(A150="",E150=""),"",IF(A150&gt;=Settings!$B$7,Settings!$B$6,Settings!$B$5))</f>
        <v/>
      </c>
      <c r="G150" s="7">
        <f>IF(F150="","",E150*F150)</f>
        <v/>
      </c>
      <c r="H150">
        <f>IF(A150="","",YEAR(A150))</f>
        <v/>
      </c>
    </row>
    <row r="151">
      <c r="A151" s="10" t="n"/>
      <c r="B151" s="9" t="n"/>
      <c r="C151" s="9" t="n"/>
      <c r="D151" s="9" t="n"/>
      <c r="E151" s="9" t="n"/>
      <c r="F151" s="13">
        <f>IF(OR(A151="",E151=""),"",IF(A151&gt;=Settings!$B$7,Settings!$B$6,Settings!$B$5))</f>
        <v/>
      </c>
      <c r="G151" s="7">
        <f>IF(F151="","",E151*F151)</f>
        <v/>
      </c>
      <c r="H151">
        <f>IF(A151="","",YEAR(A151))</f>
        <v/>
      </c>
    </row>
    <row r="152">
      <c r="A152" s="10" t="n"/>
      <c r="B152" s="9" t="n"/>
      <c r="C152" s="9" t="n"/>
      <c r="D152" s="9" t="n"/>
      <c r="E152" s="9" t="n"/>
      <c r="F152" s="13">
        <f>IF(OR(A152="",E152=""),"",IF(A152&gt;=Settings!$B$7,Settings!$B$6,Settings!$B$5))</f>
        <v/>
      </c>
      <c r="G152" s="7">
        <f>IF(F152="","",E152*F152)</f>
        <v/>
      </c>
      <c r="H152">
        <f>IF(A152="","",YEAR(A152))</f>
        <v/>
      </c>
    </row>
    <row r="153">
      <c r="A153" s="10" t="n"/>
      <c r="B153" s="9" t="n"/>
      <c r="C153" s="9" t="n"/>
      <c r="D153" s="9" t="n"/>
      <c r="E153" s="9" t="n"/>
      <c r="F153" s="13">
        <f>IF(OR(A153="",E153=""),"",IF(A153&gt;=Settings!$B$7,Settings!$B$6,Settings!$B$5))</f>
        <v/>
      </c>
      <c r="G153" s="7">
        <f>IF(F153="","",E153*F153)</f>
        <v/>
      </c>
      <c r="H153">
        <f>IF(A153="","",YEAR(A153))</f>
        <v/>
      </c>
    </row>
    <row r="154">
      <c r="A154" s="10" t="n"/>
      <c r="B154" s="9" t="n"/>
      <c r="C154" s="9" t="n"/>
      <c r="D154" s="9" t="n"/>
      <c r="E154" s="9" t="n"/>
      <c r="F154" s="13">
        <f>IF(OR(A154="",E154=""),"",IF(A154&gt;=Settings!$B$7,Settings!$B$6,Settings!$B$5))</f>
        <v/>
      </c>
      <c r="G154" s="7">
        <f>IF(F154="","",E154*F154)</f>
        <v/>
      </c>
      <c r="H154">
        <f>IF(A154="","",YEAR(A154))</f>
        <v/>
      </c>
    </row>
    <row r="155">
      <c r="A155" s="10" t="n"/>
      <c r="B155" s="9" t="n"/>
      <c r="C155" s="9" t="n"/>
      <c r="D155" s="9" t="n"/>
      <c r="E155" s="9" t="n"/>
      <c r="F155" s="13">
        <f>IF(OR(A155="",E155=""),"",IF(A155&gt;=Settings!$B$7,Settings!$B$6,Settings!$B$5))</f>
        <v/>
      </c>
      <c r="G155" s="7">
        <f>IF(F155="","",E155*F155)</f>
        <v/>
      </c>
      <c r="H155">
        <f>IF(A155="","",YEAR(A155))</f>
        <v/>
      </c>
    </row>
    <row r="156">
      <c r="A156" s="10" t="n"/>
      <c r="B156" s="9" t="n"/>
      <c r="C156" s="9" t="n"/>
      <c r="D156" s="9" t="n"/>
      <c r="E156" s="9" t="n"/>
      <c r="F156" s="13">
        <f>IF(OR(A156="",E156=""),"",IF(A156&gt;=Settings!$B$7,Settings!$B$6,Settings!$B$5))</f>
        <v/>
      </c>
      <c r="G156" s="7">
        <f>IF(F156="","",E156*F156)</f>
        <v/>
      </c>
      <c r="H156">
        <f>IF(A156="","",YEAR(A156))</f>
        <v/>
      </c>
    </row>
    <row r="157">
      <c r="A157" s="10" t="n"/>
      <c r="B157" s="9" t="n"/>
      <c r="C157" s="9" t="n"/>
      <c r="D157" s="9" t="n"/>
      <c r="E157" s="9" t="n"/>
      <c r="F157" s="13">
        <f>IF(OR(A157="",E157=""),"",IF(A157&gt;=Settings!$B$7,Settings!$B$6,Settings!$B$5))</f>
        <v/>
      </c>
      <c r="G157" s="7">
        <f>IF(F157="","",E157*F157)</f>
        <v/>
      </c>
      <c r="H157">
        <f>IF(A157="","",YEAR(A157))</f>
        <v/>
      </c>
    </row>
    <row r="158">
      <c r="A158" s="10" t="n"/>
      <c r="B158" s="9" t="n"/>
      <c r="C158" s="9" t="n"/>
      <c r="D158" s="9" t="n"/>
      <c r="E158" s="9" t="n"/>
      <c r="F158" s="13">
        <f>IF(OR(A158="",E158=""),"",IF(A158&gt;=Settings!$B$7,Settings!$B$6,Settings!$B$5))</f>
        <v/>
      </c>
      <c r="G158" s="7">
        <f>IF(F158="","",E158*F158)</f>
        <v/>
      </c>
      <c r="H158">
        <f>IF(A158="","",YEAR(A158))</f>
        <v/>
      </c>
    </row>
    <row r="159">
      <c r="A159" s="10" t="n"/>
      <c r="B159" s="9" t="n"/>
      <c r="C159" s="9" t="n"/>
      <c r="D159" s="9" t="n"/>
      <c r="E159" s="9" t="n"/>
      <c r="F159" s="13">
        <f>IF(OR(A159="",E159=""),"",IF(A159&gt;=Settings!$B$7,Settings!$B$6,Settings!$B$5))</f>
        <v/>
      </c>
      <c r="G159" s="7">
        <f>IF(F159="","",E159*F159)</f>
        <v/>
      </c>
      <c r="H159">
        <f>IF(A159="","",YEAR(A159))</f>
        <v/>
      </c>
    </row>
    <row r="160">
      <c r="A160" s="10" t="n"/>
      <c r="B160" s="9" t="n"/>
      <c r="C160" s="9" t="n"/>
      <c r="D160" s="9" t="n"/>
      <c r="E160" s="9" t="n"/>
      <c r="F160" s="13">
        <f>IF(OR(A160="",E160=""),"",IF(A160&gt;=Settings!$B$7,Settings!$B$6,Settings!$B$5))</f>
        <v/>
      </c>
      <c r="G160" s="7">
        <f>IF(F160="","",E160*F160)</f>
        <v/>
      </c>
      <c r="H160">
        <f>IF(A160="","",YEAR(A160))</f>
        <v/>
      </c>
    </row>
    <row r="161">
      <c r="A161" s="10" t="n"/>
      <c r="B161" s="9" t="n"/>
      <c r="C161" s="9" t="n"/>
      <c r="D161" s="9" t="n"/>
      <c r="E161" s="9" t="n"/>
      <c r="F161" s="13">
        <f>IF(OR(A161="",E161=""),"",IF(A161&gt;=Settings!$B$7,Settings!$B$6,Settings!$B$5))</f>
        <v/>
      </c>
      <c r="G161" s="7">
        <f>IF(F161="","",E161*F161)</f>
        <v/>
      </c>
      <c r="H161">
        <f>IF(A161="","",YEAR(A161))</f>
        <v/>
      </c>
    </row>
    <row r="162">
      <c r="A162" s="10" t="n"/>
      <c r="B162" s="9" t="n"/>
      <c r="C162" s="9" t="n"/>
      <c r="D162" s="9" t="n"/>
      <c r="E162" s="9" t="n"/>
      <c r="F162" s="13">
        <f>IF(OR(A162="",E162=""),"",IF(A162&gt;=Settings!$B$7,Settings!$B$6,Settings!$B$5))</f>
        <v/>
      </c>
      <c r="G162" s="7">
        <f>IF(F162="","",E162*F162)</f>
        <v/>
      </c>
      <c r="H162">
        <f>IF(A162="","",YEAR(A162))</f>
        <v/>
      </c>
    </row>
    <row r="163">
      <c r="A163" s="10" t="n"/>
      <c r="B163" s="9" t="n"/>
      <c r="C163" s="9" t="n"/>
      <c r="D163" s="9" t="n"/>
      <c r="E163" s="9" t="n"/>
      <c r="F163" s="13">
        <f>IF(OR(A163="",E163=""),"",IF(A163&gt;=Settings!$B$7,Settings!$B$6,Settings!$B$5))</f>
        <v/>
      </c>
      <c r="G163" s="7">
        <f>IF(F163="","",E163*F163)</f>
        <v/>
      </c>
      <c r="H163">
        <f>IF(A163="","",YEAR(A163))</f>
        <v/>
      </c>
    </row>
    <row r="164">
      <c r="A164" s="10" t="n"/>
      <c r="B164" s="9" t="n"/>
      <c r="C164" s="9" t="n"/>
      <c r="D164" s="9" t="n"/>
      <c r="E164" s="9" t="n"/>
      <c r="F164" s="13">
        <f>IF(OR(A164="",E164=""),"",IF(A164&gt;=Settings!$B$7,Settings!$B$6,Settings!$B$5))</f>
        <v/>
      </c>
      <c r="G164" s="7">
        <f>IF(F164="","",E164*F164)</f>
        <v/>
      </c>
      <c r="H164">
        <f>IF(A164="","",YEAR(A164))</f>
        <v/>
      </c>
    </row>
    <row r="165">
      <c r="A165" s="10" t="n"/>
      <c r="B165" s="9" t="n"/>
      <c r="C165" s="9" t="n"/>
      <c r="D165" s="9" t="n"/>
      <c r="E165" s="9" t="n"/>
      <c r="F165" s="13">
        <f>IF(OR(A165="",E165=""),"",IF(A165&gt;=Settings!$B$7,Settings!$B$6,Settings!$B$5))</f>
        <v/>
      </c>
      <c r="G165" s="7">
        <f>IF(F165="","",E165*F165)</f>
        <v/>
      </c>
      <c r="H165">
        <f>IF(A165="","",YEAR(A165))</f>
        <v/>
      </c>
    </row>
    <row r="166">
      <c r="A166" s="10" t="n"/>
      <c r="B166" s="9" t="n"/>
      <c r="C166" s="9" t="n"/>
      <c r="D166" s="9" t="n"/>
      <c r="E166" s="9" t="n"/>
      <c r="F166" s="13">
        <f>IF(OR(A166="",E166=""),"",IF(A166&gt;=Settings!$B$7,Settings!$B$6,Settings!$B$5))</f>
        <v/>
      </c>
      <c r="G166" s="7">
        <f>IF(F166="","",E166*F166)</f>
        <v/>
      </c>
      <c r="H166">
        <f>IF(A166="","",YEAR(A166))</f>
        <v/>
      </c>
    </row>
    <row r="167">
      <c r="A167" s="10" t="n"/>
      <c r="B167" s="9" t="n"/>
      <c r="C167" s="9" t="n"/>
      <c r="D167" s="9" t="n"/>
      <c r="E167" s="9" t="n"/>
      <c r="F167" s="13">
        <f>IF(OR(A167="",E167=""),"",IF(A167&gt;=Settings!$B$7,Settings!$B$6,Settings!$B$5))</f>
        <v/>
      </c>
      <c r="G167" s="7">
        <f>IF(F167="","",E167*F167)</f>
        <v/>
      </c>
      <c r="H167">
        <f>IF(A167="","",YEAR(A167))</f>
        <v/>
      </c>
    </row>
    <row r="168">
      <c r="A168" s="10" t="n"/>
      <c r="B168" s="9" t="n"/>
      <c r="C168" s="9" t="n"/>
      <c r="D168" s="9" t="n"/>
      <c r="E168" s="9" t="n"/>
      <c r="F168" s="13">
        <f>IF(OR(A168="",E168=""),"",IF(A168&gt;=Settings!$B$7,Settings!$B$6,Settings!$B$5))</f>
        <v/>
      </c>
      <c r="G168" s="7">
        <f>IF(F168="","",E168*F168)</f>
        <v/>
      </c>
      <c r="H168">
        <f>IF(A168="","",YEAR(A168))</f>
        <v/>
      </c>
    </row>
    <row r="169">
      <c r="A169" s="10" t="n"/>
      <c r="B169" s="9" t="n"/>
      <c r="C169" s="9" t="n"/>
      <c r="D169" s="9" t="n"/>
      <c r="E169" s="9" t="n"/>
      <c r="F169" s="13">
        <f>IF(OR(A169="",E169=""),"",IF(A169&gt;=Settings!$B$7,Settings!$B$6,Settings!$B$5))</f>
        <v/>
      </c>
      <c r="G169" s="7">
        <f>IF(F169="","",E169*F169)</f>
        <v/>
      </c>
      <c r="H169">
        <f>IF(A169="","",YEAR(A169))</f>
        <v/>
      </c>
    </row>
    <row r="170">
      <c r="A170" s="10" t="n"/>
      <c r="B170" s="9" t="n"/>
      <c r="C170" s="9" t="n"/>
      <c r="D170" s="9" t="n"/>
      <c r="E170" s="9" t="n"/>
      <c r="F170" s="13">
        <f>IF(OR(A170="",E170=""),"",IF(A170&gt;=Settings!$B$7,Settings!$B$6,Settings!$B$5))</f>
        <v/>
      </c>
      <c r="G170" s="7">
        <f>IF(F170="","",E170*F170)</f>
        <v/>
      </c>
      <c r="H170">
        <f>IF(A170="","",YEAR(A170))</f>
        <v/>
      </c>
    </row>
    <row r="171">
      <c r="A171" s="10" t="n"/>
      <c r="B171" s="9" t="n"/>
      <c r="C171" s="9" t="n"/>
      <c r="D171" s="9" t="n"/>
      <c r="E171" s="9" t="n"/>
      <c r="F171" s="13">
        <f>IF(OR(A171="",E171=""),"",IF(A171&gt;=Settings!$B$7,Settings!$B$6,Settings!$B$5))</f>
        <v/>
      </c>
      <c r="G171" s="7">
        <f>IF(F171="","",E171*F171)</f>
        <v/>
      </c>
      <c r="H171">
        <f>IF(A171="","",YEAR(A171))</f>
        <v/>
      </c>
    </row>
    <row r="172">
      <c r="A172" s="10" t="n"/>
      <c r="B172" s="9" t="n"/>
      <c r="C172" s="9" t="n"/>
      <c r="D172" s="9" t="n"/>
      <c r="E172" s="9" t="n"/>
      <c r="F172" s="13">
        <f>IF(OR(A172="",E172=""),"",IF(A172&gt;=Settings!$B$7,Settings!$B$6,Settings!$B$5))</f>
        <v/>
      </c>
      <c r="G172" s="7">
        <f>IF(F172="","",E172*F172)</f>
        <v/>
      </c>
      <c r="H172">
        <f>IF(A172="","",YEAR(A172))</f>
        <v/>
      </c>
    </row>
    <row r="173">
      <c r="A173" s="10" t="n"/>
      <c r="B173" s="9" t="n"/>
      <c r="C173" s="9" t="n"/>
      <c r="D173" s="9" t="n"/>
      <c r="E173" s="9" t="n"/>
      <c r="F173" s="13">
        <f>IF(OR(A173="",E173=""),"",IF(A173&gt;=Settings!$B$7,Settings!$B$6,Settings!$B$5))</f>
        <v/>
      </c>
      <c r="G173" s="7">
        <f>IF(F173="","",E173*F173)</f>
        <v/>
      </c>
      <c r="H173">
        <f>IF(A173="","",YEAR(A173))</f>
        <v/>
      </c>
    </row>
    <row r="174">
      <c r="A174" s="10" t="n"/>
      <c r="B174" s="9" t="n"/>
      <c r="C174" s="9" t="n"/>
      <c r="D174" s="9" t="n"/>
      <c r="E174" s="9" t="n"/>
      <c r="F174" s="13">
        <f>IF(OR(A174="",E174=""),"",IF(A174&gt;=Settings!$B$7,Settings!$B$6,Settings!$B$5))</f>
        <v/>
      </c>
      <c r="G174" s="7">
        <f>IF(F174="","",E174*F174)</f>
        <v/>
      </c>
      <c r="H174">
        <f>IF(A174="","",YEAR(A174))</f>
        <v/>
      </c>
    </row>
    <row r="175">
      <c r="A175" s="10" t="n"/>
      <c r="B175" s="9" t="n"/>
      <c r="C175" s="9" t="n"/>
      <c r="D175" s="9" t="n"/>
      <c r="E175" s="9" t="n"/>
      <c r="F175" s="13">
        <f>IF(OR(A175="",E175=""),"",IF(A175&gt;=Settings!$B$7,Settings!$B$6,Settings!$B$5))</f>
        <v/>
      </c>
      <c r="G175" s="7">
        <f>IF(F175="","",E175*F175)</f>
        <v/>
      </c>
      <c r="H175">
        <f>IF(A175="","",YEAR(A175))</f>
        <v/>
      </c>
    </row>
    <row r="176">
      <c r="A176" s="10" t="n"/>
      <c r="B176" s="9" t="n"/>
      <c r="C176" s="9" t="n"/>
      <c r="D176" s="9" t="n"/>
      <c r="E176" s="9" t="n"/>
      <c r="F176" s="13">
        <f>IF(OR(A176="",E176=""),"",IF(A176&gt;=Settings!$B$7,Settings!$B$6,Settings!$B$5))</f>
        <v/>
      </c>
      <c r="G176" s="7">
        <f>IF(F176="","",E176*F176)</f>
        <v/>
      </c>
      <c r="H176">
        <f>IF(A176="","",YEAR(A176))</f>
        <v/>
      </c>
    </row>
    <row r="177">
      <c r="A177" s="10" t="n"/>
      <c r="B177" s="9" t="n"/>
      <c r="C177" s="9" t="n"/>
      <c r="D177" s="9" t="n"/>
      <c r="E177" s="9" t="n"/>
      <c r="F177" s="13">
        <f>IF(OR(A177="",E177=""),"",IF(A177&gt;=Settings!$B$7,Settings!$B$6,Settings!$B$5))</f>
        <v/>
      </c>
      <c r="G177" s="7">
        <f>IF(F177="","",E177*F177)</f>
        <v/>
      </c>
      <c r="H177">
        <f>IF(A177="","",YEAR(A177))</f>
        <v/>
      </c>
    </row>
    <row r="178">
      <c r="A178" s="10" t="n"/>
      <c r="B178" s="9" t="n"/>
      <c r="C178" s="9" t="n"/>
      <c r="D178" s="9" t="n"/>
      <c r="E178" s="9" t="n"/>
      <c r="F178" s="13">
        <f>IF(OR(A178="",E178=""),"",IF(A178&gt;=Settings!$B$7,Settings!$B$6,Settings!$B$5))</f>
        <v/>
      </c>
      <c r="G178" s="7">
        <f>IF(F178="","",E178*F178)</f>
        <v/>
      </c>
      <c r="H178">
        <f>IF(A178="","",YEAR(A178))</f>
        <v/>
      </c>
    </row>
    <row r="179">
      <c r="A179" s="10" t="n"/>
      <c r="B179" s="9" t="n"/>
      <c r="C179" s="9" t="n"/>
      <c r="D179" s="9" t="n"/>
      <c r="E179" s="9" t="n"/>
      <c r="F179" s="13">
        <f>IF(OR(A179="",E179=""),"",IF(A179&gt;=Settings!$B$7,Settings!$B$6,Settings!$B$5))</f>
        <v/>
      </c>
      <c r="G179" s="7">
        <f>IF(F179="","",E179*F179)</f>
        <v/>
      </c>
      <c r="H179">
        <f>IF(A179="","",YEAR(A179))</f>
        <v/>
      </c>
    </row>
    <row r="180">
      <c r="A180" s="10" t="n"/>
      <c r="B180" s="9" t="n"/>
      <c r="C180" s="9" t="n"/>
      <c r="D180" s="9" t="n"/>
      <c r="E180" s="9" t="n"/>
      <c r="F180" s="13">
        <f>IF(OR(A180="",E180=""),"",IF(A180&gt;=Settings!$B$7,Settings!$B$6,Settings!$B$5))</f>
        <v/>
      </c>
      <c r="G180" s="7">
        <f>IF(F180="","",E180*F180)</f>
        <v/>
      </c>
      <c r="H180">
        <f>IF(A180="","",YEAR(A180))</f>
        <v/>
      </c>
    </row>
    <row r="181">
      <c r="A181" s="10" t="n"/>
      <c r="B181" s="9" t="n"/>
      <c r="C181" s="9" t="n"/>
      <c r="D181" s="9" t="n"/>
      <c r="E181" s="9" t="n"/>
      <c r="F181" s="13">
        <f>IF(OR(A181="",E181=""),"",IF(A181&gt;=Settings!$B$7,Settings!$B$6,Settings!$B$5))</f>
        <v/>
      </c>
      <c r="G181" s="7">
        <f>IF(F181="","",E181*F181)</f>
        <v/>
      </c>
      <c r="H181">
        <f>IF(A181="","",YEAR(A181))</f>
        <v/>
      </c>
    </row>
    <row r="182">
      <c r="A182" s="10" t="n"/>
      <c r="B182" s="9" t="n"/>
      <c r="C182" s="9" t="n"/>
      <c r="D182" s="9" t="n"/>
      <c r="E182" s="9" t="n"/>
      <c r="F182" s="13">
        <f>IF(OR(A182="",E182=""),"",IF(A182&gt;=Settings!$B$7,Settings!$B$6,Settings!$B$5))</f>
        <v/>
      </c>
      <c r="G182" s="7">
        <f>IF(F182="","",E182*F182)</f>
        <v/>
      </c>
      <c r="H182">
        <f>IF(A182="","",YEAR(A182))</f>
        <v/>
      </c>
    </row>
    <row r="183">
      <c r="A183" s="10" t="n"/>
      <c r="B183" s="9" t="n"/>
      <c r="C183" s="9" t="n"/>
      <c r="D183" s="9" t="n"/>
      <c r="E183" s="9" t="n"/>
      <c r="F183" s="13">
        <f>IF(OR(A183="",E183=""),"",IF(A183&gt;=Settings!$B$7,Settings!$B$6,Settings!$B$5))</f>
        <v/>
      </c>
      <c r="G183" s="7">
        <f>IF(F183="","",E183*F183)</f>
        <v/>
      </c>
      <c r="H183">
        <f>IF(A183="","",YEAR(A183))</f>
        <v/>
      </c>
    </row>
    <row r="184">
      <c r="A184" s="10" t="n"/>
      <c r="B184" s="9" t="n"/>
      <c r="C184" s="9" t="n"/>
      <c r="D184" s="9" t="n"/>
      <c r="E184" s="9" t="n"/>
      <c r="F184" s="13">
        <f>IF(OR(A184="",E184=""),"",IF(A184&gt;=Settings!$B$7,Settings!$B$6,Settings!$B$5))</f>
        <v/>
      </c>
      <c r="G184" s="7">
        <f>IF(F184="","",E184*F184)</f>
        <v/>
      </c>
      <c r="H184">
        <f>IF(A184="","",YEAR(A184))</f>
        <v/>
      </c>
    </row>
    <row r="185">
      <c r="A185" s="10" t="n"/>
      <c r="B185" s="9" t="n"/>
      <c r="C185" s="9" t="n"/>
      <c r="D185" s="9" t="n"/>
      <c r="E185" s="9" t="n"/>
      <c r="F185" s="13">
        <f>IF(OR(A185="",E185=""),"",IF(A185&gt;=Settings!$B$7,Settings!$B$6,Settings!$B$5))</f>
        <v/>
      </c>
      <c r="G185" s="7">
        <f>IF(F185="","",E185*F185)</f>
        <v/>
      </c>
      <c r="H185">
        <f>IF(A185="","",YEAR(A185))</f>
        <v/>
      </c>
    </row>
    <row r="186">
      <c r="A186" s="10" t="n"/>
      <c r="B186" s="9" t="n"/>
      <c r="C186" s="9" t="n"/>
      <c r="D186" s="9" t="n"/>
      <c r="E186" s="9" t="n"/>
      <c r="F186" s="13">
        <f>IF(OR(A186="",E186=""),"",IF(A186&gt;=Settings!$B$7,Settings!$B$6,Settings!$B$5))</f>
        <v/>
      </c>
      <c r="G186" s="7">
        <f>IF(F186="","",E186*F186)</f>
        <v/>
      </c>
      <c r="H186">
        <f>IF(A186="","",YEAR(A186))</f>
        <v/>
      </c>
    </row>
    <row r="187">
      <c r="A187" s="10" t="n"/>
      <c r="B187" s="9" t="n"/>
      <c r="C187" s="9" t="n"/>
      <c r="D187" s="9" t="n"/>
      <c r="E187" s="9" t="n"/>
      <c r="F187" s="13">
        <f>IF(OR(A187="",E187=""),"",IF(A187&gt;=Settings!$B$7,Settings!$B$6,Settings!$B$5))</f>
        <v/>
      </c>
      <c r="G187" s="7">
        <f>IF(F187="","",E187*F187)</f>
        <v/>
      </c>
      <c r="H187">
        <f>IF(A187="","",YEAR(A187))</f>
        <v/>
      </c>
    </row>
    <row r="188">
      <c r="A188" s="10" t="n"/>
      <c r="B188" s="9" t="n"/>
      <c r="C188" s="9" t="n"/>
      <c r="D188" s="9" t="n"/>
      <c r="E188" s="9" t="n"/>
      <c r="F188" s="13">
        <f>IF(OR(A188="",E188=""),"",IF(A188&gt;=Settings!$B$7,Settings!$B$6,Settings!$B$5))</f>
        <v/>
      </c>
      <c r="G188" s="7">
        <f>IF(F188="","",E188*F188)</f>
        <v/>
      </c>
      <c r="H188">
        <f>IF(A188="","",YEAR(A188))</f>
        <v/>
      </c>
    </row>
    <row r="189">
      <c r="A189" s="10" t="n"/>
      <c r="B189" s="9" t="n"/>
      <c r="C189" s="9" t="n"/>
      <c r="D189" s="9" t="n"/>
      <c r="E189" s="9" t="n"/>
      <c r="F189" s="13">
        <f>IF(OR(A189="",E189=""),"",IF(A189&gt;=Settings!$B$7,Settings!$B$6,Settings!$B$5))</f>
        <v/>
      </c>
      <c r="G189" s="7">
        <f>IF(F189="","",E189*F189)</f>
        <v/>
      </c>
      <c r="H189">
        <f>IF(A189="","",YEAR(A189))</f>
        <v/>
      </c>
    </row>
    <row r="190">
      <c r="A190" s="10" t="n"/>
      <c r="B190" s="9" t="n"/>
      <c r="C190" s="9" t="n"/>
      <c r="D190" s="9" t="n"/>
      <c r="E190" s="9" t="n"/>
      <c r="F190" s="13">
        <f>IF(OR(A190="",E190=""),"",IF(A190&gt;=Settings!$B$7,Settings!$B$6,Settings!$B$5))</f>
        <v/>
      </c>
      <c r="G190" s="7">
        <f>IF(F190="","",E190*F190)</f>
        <v/>
      </c>
      <c r="H190">
        <f>IF(A190="","",YEAR(A190))</f>
        <v/>
      </c>
    </row>
    <row r="191">
      <c r="A191" s="10" t="n"/>
      <c r="B191" s="9" t="n"/>
      <c r="C191" s="9" t="n"/>
      <c r="D191" s="9" t="n"/>
      <c r="E191" s="9" t="n"/>
      <c r="F191" s="13">
        <f>IF(OR(A191="",E191=""),"",IF(A191&gt;=Settings!$B$7,Settings!$B$6,Settings!$B$5))</f>
        <v/>
      </c>
      <c r="G191" s="7">
        <f>IF(F191="","",E191*F191)</f>
        <v/>
      </c>
      <c r="H191">
        <f>IF(A191="","",YEAR(A191))</f>
        <v/>
      </c>
    </row>
    <row r="192">
      <c r="A192" s="10" t="n"/>
      <c r="B192" s="9" t="n"/>
      <c r="C192" s="9" t="n"/>
      <c r="D192" s="9" t="n"/>
      <c r="E192" s="9" t="n"/>
      <c r="F192" s="13">
        <f>IF(OR(A192="",E192=""),"",IF(A192&gt;=Settings!$B$7,Settings!$B$6,Settings!$B$5))</f>
        <v/>
      </c>
      <c r="G192" s="7">
        <f>IF(F192="","",E192*F192)</f>
        <v/>
      </c>
      <c r="H192">
        <f>IF(A192="","",YEAR(A192))</f>
        <v/>
      </c>
    </row>
    <row r="193">
      <c r="A193" s="10" t="n"/>
      <c r="B193" s="9" t="n"/>
      <c r="C193" s="9" t="n"/>
      <c r="D193" s="9" t="n"/>
      <c r="E193" s="9" t="n"/>
      <c r="F193" s="13">
        <f>IF(OR(A193="",E193=""),"",IF(A193&gt;=Settings!$B$7,Settings!$B$6,Settings!$B$5))</f>
        <v/>
      </c>
      <c r="G193" s="7">
        <f>IF(F193="","",E193*F193)</f>
        <v/>
      </c>
      <c r="H193">
        <f>IF(A193="","",YEAR(A193))</f>
        <v/>
      </c>
    </row>
    <row r="194">
      <c r="A194" s="10" t="n"/>
      <c r="B194" s="9" t="n"/>
      <c r="C194" s="9" t="n"/>
      <c r="D194" s="9" t="n"/>
      <c r="E194" s="9" t="n"/>
      <c r="F194" s="13">
        <f>IF(OR(A194="",E194=""),"",IF(A194&gt;=Settings!$B$7,Settings!$B$6,Settings!$B$5))</f>
        <v/>
      </c>
      <c r="G194" s="7">
        <f>IF(F194="","",E194*F194)</f>
        <v/>
      </c>
      <c r="H194">
        <f>IF(A194="","",YEAR(A194))</f>
        <v/>
      </c>
    </row>
    <row r="195">
      <c r="A195" s="10" t="n"/>
      <c r="B195" s="9" t="n"/>
      <c r="C195" s="9" t="n"/>
      <c r="D195" s="9" t="n"/>
      <c r="E195" s="9" t="n"/>
      <c r="F195" s="13">
        <f>IF(OR(A195="",E195=""),"",IF(A195&gt;=Settings!$B$7,Settings!$B$6,Settings!$B$5))</f>
        <v/>
      </c>
      <c r="G195" s="7">
        <f>IF(F195="","",E195*F195)</f>
        <v/>
      </c>
      <c r="H195">
        <f>IF(A195="","",YEAR(A195))</f>
        <v/>
      </c>
    </row>
    <row r="196">
      <c r="A196" s="10" t="n"/>
      <c r="B196" s="9" t="n"/>
      <c r="C196" s="9" t="n"/>
      <c r="D196" s="9" t="n"/>
      <c r="E196" s="9" t="n"/>
      <c r="F196" s="13">
        <f>IF(OR(A196="",E196=""),"",IF(A196&gt;=Settings!$B$7,Settings!$B$6,Settings!$B$5))</f>
        <v/>
      </c>
      <c r="G196" s="7">
        <f>IF(F196="","",E196*F196)</f>
        <v/>
      </c>
      <c r="H196">
        <f>IF(A196="","",YEAR(A196))</f>
        <v/>
      </c>
    </row>
    <row r="197">
      <c r="A197" s="10" t="n"/>
      <c r="B197" s="9" t="n"/>
      <c r="C197" s="9" t="n"/>
      <c r="D197" s="9" t="n"/>
      <c r="E197" s="9" t="n"/>
      <c r="F197" s="13">
        <f>IF(OR(A197="",E197=""),"",IF(A197&gt;=Settings!$B$7,Settings!$B$6,Settings!$B$5))</f>
        <v/>
      </c>
      <c r="G197" s="7">
        <f>IF(F197="","",E197*F197)</f>
        <v/>
      </c>
      <c r="H197">
        <f>IF(A197="","",YEAR(A197))</f>
        <v/>
      </c>
    </row>
    <row r="198">
      <c r="A198" s="10" t="n"/>
      <c r="B198" s="9" t="n"/>
      <c r="C198" s="9" t="n"/>
      <c r="D198" s="9" t="n"/>
      <c r="E198" s="9" t="n"/>
      <c r="F198" s="13">
        <f>IF(OR(A198="",E198=""),"",IF(A198&gt;=Settings!$B$7,Settings!$B$6,Settings!$B$5))</f>
        <v/>
      </c>
      <c r="G198" s="7">
        <f>IF(F198="","",E198*F198)</f>
        <v/>
      </c>
      <c r="H198">
        <f>IF(A198="","",YEAR(A198))</f>
        <v/>
      </c>
    </row>
    <row r="199">
      <c r="A199" s="10" t="n"/>
      <c r="B199" s="9" t="n"/>
      <c r="C199" s="9" t="n"/>
      <c r="D199" s="9" t="n"/>
      <c r="E199" s="9" t="n"/>
      <c r="F199" s="13">
        <f>IF(OR(A199="",E199=""),"",IF(A199&gt;=Settings!$B$7,Settings!$B$6,Settings!$B$5))</f>
        <v/>
      </c>
      <c r="G199" s="7">
        <f>IF(F199="","",E199*F199)</f>
        <v/>
      </c>
      <c r="H199">
        <f>IF(A199="","",YEAR(A199))</f>
        <v/>
      </c>
    </row>
    <row r="200">
      <c r="A200" s="10" t="n"/>
      <c r="B200" s="9" t="n"/>
      <c r="C200" s="9" t="n"/>
      <c r="D200" s="9" t="n"/>
      <c r="E200" s="9" t="n"/>
      <c r="F200" s="13">
        <f>IF(OR(A200="",E200=""),"",IF(A200&gt;=Settings!$B$7,Settings!$B$6,Settings!$B$5))</f>
        <v/>
      </c>
      <c r="G200" s="7">
        <f>IF(F200="","",E200*F200)</f>
        <v/>
      </c>
      <c r="H200">
        <f>IF(A200="","",YEAR(A200))</f>
        <v/>
      </c>
    </row>
    <row r="201">
      <c r="A201" s="10" t="n"/>
      <c r="B201" s="9" t="n"/>
      <c r="C201" s="9" t="n"/>
      <c r="D201" s="9" t="n"/>
      <c r="E201" s="9" t="n"/>
      <c r="F201" s="13">
        <f>IF(OR(A201="",E201=""),"",IF(A201&gt;=Settings!$B$7,Settings!$B$6,Settings!$B$5))</f>
        <v/>
      </c>
      <c r="G201" s="7">
        <f>IF(F201="","",E201*F201)</f>
        <v/>
      </c>
      <c r="H201">
        <f>IF(A201="","",YEAR(A201))</f>
        <v/>
      </c>
    </row>
    <row r="202">
      <c r="A202" s="10" t="n"/>
      <c r="B202" s="9" t="n"/>
      <c r="C202" s="9" t="n"/>
      <c r="D202" s="9" t="n"/>
      <c r="E202" s="9" t="n"/>
      <c r="F202" s="13">
        <f>IF(OR(A202="",E202=""),"",IF(A202&gt;=Settings!$B$7,Settings!$B$6,Settings!$B$5))</f>
        <v/>
      </c>
      <c r="G202" s="7">
        <f>IF(F202="","",E202*F202)</f>
        <v/>
      </c>
      <c r="H202">
        <f>IF(A202="","",YEAR(A202))</f>
        <v/>
      </c>
    </row>
    <row r="203">
      <c r="A203" s="10" t="n"/>
      <c r="B203" s="9" t="n"/>
      <c r="C203" s="9" t="n"/>
      <c r="D203" s="9" t="n"/>
      <c r="E203" s="9" t="n"/>
      <c r="F203" s="13">
        <f>IF(OR(A203="",E203=""),"",IF(A203&gt;=Settings!$B$7,Settings!$B$6,Settings!$B$5))</f>
        <v/>
      </c>
      <c r="G203" s="7">
        <f>IF(F203="","",E203*F203)</f>
        <v/>
      </c>
      <c r="H203">
        <f>IF(A203="","",YEAR(A203))</f>
        <v/>
      </c>
    </row>
    <row r="204">
      <c r="A204" s="10" t="n"/>
      <c r="B204" s="9" t="n"/>
      <c r="C204" s="9" t="n"/>
      <c r="D204" s="9" t="n"/>
      <c r="E204" s="9" t="n"/>
      <c r="F204" s="13">
        <f>IF(OR(A204="",E204=""),"",IF(A204&gt;=Settings!$B$7,Settings!$B$6,Settings!$B$5))</f>
        <v/>
      </c>
      <c r="G204" s="7">
        <f>IF(F204="","",E204*F204)</f>
        <v/>
      </c>
      <c r="H204">
        <f>IF(A204="","",YEAR(A204))</f>
        <v/>
      </c>
    </row>
    <row r="205">
      <c r="A205" s="10" t="n"/>
      <c r="B205" s="9" t="n"/>
      <c r="C205" s="9" t="n"/>
      <c r="D205" s="9" t="n"/>
      <c r="E205" s="9" t="n"/>
      <c r="F205" s="13">
        <f>IF(OR(A205="",E205=""),"",IF(A205&gt;=Settings!$B$7,Settings!$B$6,Settings!$B$5))</f>
        <v/>
      </c>
      <c r="G205" s="7">
        <f>IF(F205="","",E205*F205)</f>
        <v/>
      </c>
      <c r="H205">
        <f>IF(A205="","",YEAR(A205))</f>
        <v/>
      </c>
    </row>
    <row r="206">
      <c r="A206" s="10" t="n"/>
      <c r="B206" s="9" t="n"/>
      <c r="C206" s="9" t="n"/>
      <c r="D206" s="9" t="n"/>
      <c r="E206" s="9" t="n"/>
      <c r="F206" s="13">
        <f>IF(OR(A206="",E206=""),"",IF(A206&gt;=Settings!$B$7,Settings!$B$6,Settings!$B$5))</f>
        <v/>
      </c>
      <c r="G206" s="7">
        <f>IF(F206="","",E206*F206)</f>
        <v/>
      </c>
      <c r="H206">
        <f>IF(A206="","",YEAR(A206))</f>
        <v/>
      </c>
    </row>
    <row r="207">
      <c r="A207" s="10" t="n"/>
      <c r="B207" s="9" t="n"/>
      <c r="C207" s="9" t="n"/>
      <c r="D207" s="9" t="n"/>
      <c r="E207" s="9" t="n"/>
      <c r="F207" s="13">
        <f>IF(OR(A207="",E207=""),"",IF(A207&gt;=Settings!$B$7,Settings!$B$6,Settings!$B$5))</f>
        <v/>
      </c>
      <c r="G207" s="7">
        <f>IF(F207="","",E207*F207)</f>
        <v/>
      </c>
      <c r="H207">
        <f>IF(A207="","",YEAR(A207))</f>
        <v/>
      </c>
    </row>
    <row r="208">
      <c r="A208" s="10" t="n"/>
      <c r="B208" s="9" t="n"/>
      <c r="C208" s="9" t="n"/>
      <c r="D208" s="9" t="n"/>
      <c r="E208" s="9" t="n"/>
      <c r="F208" s="13">
        <f>IF(OR(A208="",E208=""),"",IF(A208&gt;=Settings!$B$7,Settings!$B$6,Settings!$B$5))</f>
        <v/>
      </c>
      <c r="G208" s="7">
        <f>IF(F208="","",E208*F208)</f>
        <v/>
      </c>
      <c r="H208">
        <f>IF(A208="","",YEAR(A208))</f>
        <v/>
      </c>
    </row>
    <row r="209">
      <c r="A209" s="10" t="n"/>
      <c r="B209" s="9" t="n"/>
      <c r="C209" s="9" t="n"/>
      <c r="D209" s="9" t="n"/>
      <c r="E209" s="9" t="n"/>
      <c r="F209" s="13">
        <f>IF(OR(A209="",E209=""),"",IF(A209&gt;=Settings!$B$7,Settings!$B$6,Settings!$B$5))</f>
        <v/>
      </c>
      <c r="G209" s="7">
        <f>IF(F209="","",E209*F209)</f>
        <v/>
      </c>
      <c r="H209">
        <f>IF(A209="","",YEAR(A209))</f>
        <v/>
      </c>
    </row>
    <row r="210">
      <c r="A210" s="10" t="n"/>
      <c r="B210" s="9" t="n"/>
      <c r="C210" s="9" t="n"/>
      <c r="D210" s="9" t="n"/>
      <c r="E210" s="9" t="n"/>
      <c r="F210" s="13">
        <f>IF(OR(A210="",E210=""),"",IF(A210&gt;=Settings!$B$7,Settings!$B$6,Settings!$B$5))</f>
        <v/>
      </c>
      <c r="G210" s="7">
        <f>IF(F210="","",E210*F210)</f>
        <v/>
      </c>
      <c r="H210">
        <f>IF(A210="","",YEAR(A210))</f>
        <v/>
      </c>
    </row>
    <row r="211">
      <c r="A211" s="10" t="n"/>
      <c r="B211" s="9" t="n"/>
      <c r="C211" s="9" t="n"/>
      <c r="D211" s="9" t="n"/>
      <c r="E211" s="9" t="n"/>
      <c r="F211" s="13">
        <f>IF(OR(A211="",E211=""),"",IF(A211&gt;=Settings!$B$7,Settings!$B$6,Settings!$B$5))</f>
        <v/>
      </c>
      <c r="G211" s="7">
        <f>IF(F211="","",E211*F211)</f>
        <v/>
      </c>
      <c r="H211">
        <f>IF(A211="","",YEAR(A211))</f>
        <v/>
      </c>
    </row>
    <row r="212">
      <c r="A212" s="10" t="n"/>
      <c r="B212" s="9" t="n"/>
      <c r="C212" s="9" t="n"/>
      <c r="D212" s="9" t="n"/>
      <c r="E212" s="9" t="n"/>
      <c r="F212" s="13">
        <f>IF(OR(A212="",E212=""),"",IF(A212&gt;=Settings!$B$7,Settings!$B$6,Settings!$B$5))</f>
        <v/>
      </c>
      <c r="G212" s="7">
        <f>IF(F212="","",E212*F212)</f>
        <v/>
      </c>
      <c r="H212">
        <f>IF(A212="","",YEAR(A212))</f>
        <v/>
      </c>
    </row>
    <row r="213">
      <c r="A213" s="10" t="n"/>
      <c r="B213" s="9" t="n"/>
      <c r="C213" s="9" t="n"/>
      <c r="D213" s="9" t="n"/>
      <c r="E213" s="9" t="n"/>
      <c r="F213" s="13">
        <f>IF(OR(A213="",E213=""),"",IF(A213&gt;=Settings!$B$7,Settings!$B$6,Settings!$B$5))</f>
        <v/>
      </c>
      <c r="G213" s="7">
        <f>IF(F213="","",E213*F213)</f>
        <v/>
      </c>
      <c r="H213">
        <f>IF(A213="","",YEAR(A213))</f>
        <v/>
      </c>
    </row>
    <row r="214">
      <c r="A214" s="10" t="n"/>
      <c r="B214" s="9" t="n"/>
      <c r="C214" s="9" t="n"/>
      <c r="D214" s="9" t="n"/>
      <c r="E214" s="9" t="n"/>
      <c r="F214" s="13">
        <f>IF(OR(A214="",E214=""),"",IF(A214&gt;=Settings!$B$7,Settings!$B$6,Settings!$B$5))</f>
        <v/>
      </c>
      <c r="G214" s="7">
        <f>IF(F214="","",E214*F214)</f>
        <v/>
      </c>
      <c r="H214">
        <f>IF(A214="","",YEAR(A214))</f>
        <v/>
      </c>
    </row>
    <row r="215">
      <c r="A215" s="10" t="n"/>
      <c r="B215" s="9" t="n"/>
      <c r="C215" s="9" t="n"/>
      <c r="D215" s="9" t="n"/>
      <c r="E215" s="9" t="n"/>
      <c r="F215" s="13">
        <f>IF(OR(A215="",E215=""),"",IF(A215&gt;=Settings!$B$7,Settings!$B$6,Settings!$B$5))</f>
        <v/>
      </c>
      <c r="G215" s="7">
        <f>IF(F215="","",E215*F215)</f>
        <v/>
      </c>
      <c r="H215">
        <f>IF(A215="","",YEAR(A215))</f>
        <v/>
      </c>
    </row>
    <row r="216">
      <c r="A216" s="10" t="n"/>
      <c r="B216" s="9" t="n"/>
      <c r="C216" s="9" t="n"/>
      <c r="D216" s="9" t="n"/>
      <c r="E216" s="9" t="n"/>
      <c r="F216" s="13">
        <f>IF(OR(A216="",E216=""),"",IF(A216&gt;=Settings!$B$7,Settings!$B$6,Settings!$B$5))</f>
        <v/>
      </c>
      <c r="G216" s="7">
        <f>IF(F216="","",E216*F216)</f>
        <v/>
      </c>
      <c r="H216">
        <f>IF(A216="","",YEAR(A216))</f>
        <v/>
      </c>
    </row>
    <row r="217">
      <c r="A217" s="10" t="n"/>
      <c r="B217" s="9" t="n"/>
      <c r="C217" s="9" t="n"/>
      <c r="D217" s="9" t="n"/>
      <c r="E217" s="9" t="n"/>
      <c r="F217" s="13">
        <f>IF(OR(A217="",E217=""),"",IF(A217&gt;=Settings!$B$7,Settings!$B$6,Settings!$B$5))</f>
        <v/>
      </c>
      <c r="G217" s="7">
        <f>IF(F217="","",E217*F217)</f>
        <v/>
      </c>
      <c r="H217">
        <f>IF(A217="","",YEAR(A217))</f>
        <v/>
      </c>
    </row>
    <row r="218">
      <c r="A218" s="10" t="n"/>
      <c r="B218" s="9" t="n"/>
      <c r="C218" s="9" t="n"/>
      <c r="D218" s="9" t="n"/>
      <c r="E218" s="9" t="n"/>
      <c r="F218" s="13">
        <f>IF(OR(A218="",E218=""),"",IF(A218&gt;=Settings!$B$7,Settings!$B$6,Settings!$B$5))</f>
        <v/>
      </c>
      <c r="G218" s="7">
        <f>IF(F218="","",E218*F218)</f>
        <v/>
      </c>
      <c r="H218">
        <f>IF(A218="","",YEAR(A218))</f>
        <v/>
      </c>
    </row>
    <row r="219">
      <c r="A219" s="10" t="n"/>
      <c r="B219" s="9" t="n"/>
      <c r="C219" s="9" t="n"/>
      <c r="D219" s="9" t="n"/>
      <c r="E219" s="9" t="n"/>
      <c r="F219" s="13">
        <f>IF(OR(A219="",E219=""),"",IF(A219&gt;=Settings!$B$7,Settings!$B$6,Settings!$B$5))</f>
        <v/>
      </c>
      <c r="G219" s="7">
        <f>IF(F219="","",E219*F219)</f>
        <v/>
      </c>
      <c r="H219">
        <f>IF(A219="","",YEAR(A219))</f>
        <v/>
      </c>
    </row>
    <row r="220">
      <c r="A220" s="10" t="n"/>
      <c r="B220" s="9" t="n"/>
      <c r="C220" s="9" t="n"/>
      <c r="D220" s="9" t="n"/>
      <c r="E220" s="9" t="n"/>
      <c r="F220" s="13">
        <f>IF(OR(A220="",E220=""),"",IF(A220&gt;=Settings!$B$7,Settings!$B$6,Settings!$B$5))</f>
        <v/>
      </c>
      <c r="G220" s="7">
        <f>IF(F220="","",E220*F220)</f>
        <v/>
      </c>
      <c r="H220">
        <f>IF(A220="","",YEAR(A220))</f>
        <v/>
      </c>
    </row>
    <row r="221">
      <c r="A221" s="10" t="n"/>
      <c r="B221" s="9" t="n"/>
      <c r="C221" s="9" t="n"/>
      <c r="D221" s="9" t="n"/>
      <c r="E221" s="9" t="n"/>
      <c r="F221" s="13">
        <f>IF(OR(A221="",E221=""),"",IF(A221&gt;=Settings!$B$7,Settings!$B$6,Settings!$B$5))</f>
        <v/>
      </c>
      <c r="G221" s="7">
        <f>IF(F221="","",E221*F221)</f>
        <v/>
      </c>
      <c r="H221">
        <f>IF(A221="","",YEAR(A221))</f>
        <v/>
      </c>
    </row>
    <row r="222">
      <c r="A222" s="10" t="n"/>
      <c r="B222" s="9" t="n"/>
      <c r="C222" s="9" t="n"/>
      <c r="D222" s="9" t="n"/>
      <c r="E222" s="9" t="n"/>
      <c r="F222" s="13">
        <f>IF(OR(A222="",E222=""),"",IF(A222&gt;=Settings!$B$7,Settings!$B$6,Settings!$B$5))</f>
        <v/>
      </c>
      <c r="G222" s="7">
        <f>IF(F222="","",E222*F222)</f>
        <v/>
      </c>
      <c r="H222">
        <f>IF(A222="","",YEAR(A222))</f>
        <v/>
      </c>
    </row>
    <row r="223">
      <c r="A223" s="10" t="n"/>
      <c r="B223" s="9" t="n"/>
      <c r="C223" s="9" t="n"/>
      <c r="D223" s="9" t="n"/>
      <c r="E223" s="9" t="n"/>
      <c r="F223" s="13">
        <f>IF(OR(A223="",E223=""),"",IF(A223&gt;=Settings!$B$7,Settings!$B$6,Settings!$B$5))</f>
        <v/>
      </c>
      <c r="G223" s="7">
        <f>IF(F223="","",E223*F223)</f>
        <v/>
      </c>
      <c r="H223">
        <f>IF(A223="","",YEAR(A223))</f>
        <v/>
      </c>
    </row>
    <row r="224">
      <c r="A224" s="10" t="n"/>
      <c r="B224" s="9" t="n"/>
      <c r="C224" s="9" t="n"/>
      <c r="D224" s="9" t="n"/>
      <c r="E224" s="9" t="n"/>
      <c r="F224" s="13">
        <f>IF(OR(A224="",E224=""),"",IF(A224&gt;=Settings!$B$7,Settings!$B$6,Settings!$B$5))</f>
        <v/>
      </c>
      <c r="G224" s="7">
        <f>IF(F224="","",E224*F224)</f>
        <v/>
      </c>
      <c r="H224">
        <f>IF(A224="","",YEAR(A224))</f>
        <v/>
      </c>
    </row>
    <row r="225">
      <c r="A225" s="10" t="n"/>
      <c r="B225" s="9" t="n"/>
      <c r="C225" s="9" t="n"/>
      <c r="D225" s="9" t="n"/>
      <c r="E225" s="9" t="n"/>
      <c r="F225" s="13">
        <f>IF(OR(A225="",E225=""),"",IF(A225&gt;=Settings!$B$7,Settings!$B$6,Settings!$B$5))</f>
        <v/>
      </c>
      <c r="G225" s="7">
        <f>IF(F225="","",E225*F225)</f>
        <v/>
      </c>
      <c r="H225">
        <f>IF(A225="","",YEAR(A225))</f>
        <v/>
      </c>
    </row>
    <row r="226">
      <c r="A226" s="10" t="n"/>
      <c r="B226" s="9" t="n"/>
      <c r="C226" s="9" t="n"/>
      <c r="D226" s="9" t="n"/>
      <c r="E226" s="9" t="n"/>
      <c r="F226" s="13">
        <f>IF(OR(A226="",E226=""),"",IF(A226&gt;=Settings!$B$7,Settings!$B$6,Settings!$B$5))</f>
        <v/>
      </c>
      <c r="G226" s="7">
        <f>IF(F226="","",E226*F226)</f>
        <v/>
      </c>
      <c r="H226">
        <f>IF(A226="","",YEAR(A226))</f>
        <v/>
      </c>
    </row>
    <row r="227">
      <c r="A227" s="10" t="n"/>
      <c r="B227" s="9" t="n"/>
      <c r="C227" s="9" t="n"/>
      <c r="D227" s="9" t="n"/>
      <c r="E227" s="9" t="n"/>
      <c r="F227" s="13">
        <f>IF(OR(A227="",E227=""),"",IF(A227&gt;=Settings!$B$7,Settings!$B$6,Settings!$B$5))</f>
        <v/>
      </c>
      <c r="G227" s="7">
        <f>IF(F227="","",E227*F227)</f>
        <v/>
      </c>
      <c r="H227">
        <f>IF(A227="","",YEAR(A227))</f>
        <v/>
      </c>
    </row>
    <row r="228">
      <c r="A228" s="10" t="n"/>
      <c r="B228" s="9" t="n"/>
      <c r="C228" s="9" t="n"/>
      <c r="D228" s="9" t="n"/>
      <c r="E228" s="9" t="n"/>
      <c r="F228" s="13">
        <f>IF(OR(A228="",E228=""),"",IF(A228&gt;=Settings!$B$7,Settings!$B$6,Settings!$B$5))</f>
        <v/>
      </c>
      <c r="G228" s="7">
        <f>IF(F228="","",E228*F228)</f>
        <v/>
      </c>
      <c r="H228">
        <f>IF(A228="","",YEAR(A228))</f>
        <v/>
      </c>
    </row>
    <row r="229">
      <c r="A229" s="10" t="n"/>
      <c r="B229" s="9" t="n"/>
      <c r="C229" s="9" t="n"/>
      <c r="D229" s="9" t="n"/>
      <c r="E229" s="9" t="n"/>
      <c r="F229" s="13">
        <f>IF(OR(A229="",E229=""),"",IF(A229&gt;=Settings!$B$7,Settings!$B$6,Settings!$B$5))</f>
        <v/>
      </c>
      <c r="G229" s="7">
        <f>IF(F229="","",E229*F229)</f>
        <v/>
      </c>
      <c r="H229">
        <f>IF(A229="","",YEAR(A229))</f>
        <v/>
      </c>
    </row>
    <row r="230">
      <c r="A230" s="10" t="n"/>
      <c r="B230" s="9" t="n"/>
      <c r="C230" s="9" t="n"/>
      <c r="D230" s="9" t="n"/>
      <c r="E230" s="9" t="n"/>
      <c r="F230" s="13">
        <f>IF(OR(A230="",E230=""),"",IF(A230&gt;=Settings!$B$7,Settings!$B$6,Settings!$B$5))</f>
        <v/>
      </c>
      <c r="G230" s="7">
        <f>IF(F230="","",E230*F230)</f>
        <v/>
      </c>
      <c r="H230">
        <f>IF(A230="","",YEAR(A230))</f>
        <v/>
      </c>
    </row>
    <row r="231">
      <c r="A231" s="10" t="n"/>
      <c r="B231" s="9" t="n"/>
      <c r="C231" s="9" t="n"/>
      <c r="D231" s="9" t="n"/>
      <c r="E231" s="9" t="n"/>
      <c r="F231" s="13">
        <f>IF(OR(A231="",E231=""),"",IF(A231&gt;=Settings!$B$7,Settings!$B$6,Settings!$B$5))</f>
        <v/>
      </c>
      <c r="G231" s="7">
        <f>IF(F231="","",E231*F231)</f>
        <v/>
      </c>
      <c r="H231">
        <f>IF(A231="","",YEAR(A231))</f>
        <v/>
      </c>
    </row>
    <row r="232">
      <c r="A232" s="10" t="n"/>
      <c r="B232" s="9" t="n"/>
      <c r="C232" s="9" t="n"/>
      <c r="D232" s="9" t="n"/>
      <c r="E232" s="9" t="n"/>
      <c r="F232" s="13">
        <f>IF(OR(A232="",E232=""),"",IF(A232&gt;=Settings!$B$7,Settings!$B$6,Settings!$B$5))</f>
        <v/>
      </c>
      <c r="G232" s="7">
        <f>IF(F232="","",E232*F232)</f>
        <v/>
      </c>
      <c r="H232">
        <f>IF(A232="","",YEAR(A232))</f>
        <v/>
      </c>
    </row>
    <row r="233">
      <c r="A233" s="10" t="n"/>
      <c r="B233" s="9" t="n"/>
      <c r="C233" s="9" t="n"/>
      <c r="D233" s="9" t="n"/>
      <c r="E233" s="9" t="n"/>
      <c r="F233" s="13">
        <f>IF(OR(A233="",E233=""),"",IF(A233&gt;=Settings!$B$7,Settings!$B$6,Settings!$B$5))</f>
        <v/>
      </c>
      <c r="G233" s="7">
        <f>IF(F233="","",E233*F233)</f>
        <v/>
      </c>
      <c r="H233">
        <f>IF(A233="","",YEAR(A233))</f>
        <v/>
      </c>
    </row>
    <row r="234">
      <c r="A234" s="10" t="n"/>
      <c r="B234" s="9" t="n"/>
      <c r="C234" s="9" t="n"/>
      <c r="D234" s="9" t="n"/>
      <c r="E234" s="9" t="n"/>
      <c r="F234" s="13">
        <f>IF(OR(A234="",E234=""),"",IF(A234&gt;=Settings!$B$7,Settings!$B$6,Settings!$B$5))</f>
        <v/>
      </c>
      <c r="G234" s="7">
        <f>IF(F234="","",E234*F234)</f>
        <v/>
      </c>
      <c r="H234">
        <f>IF(A234="","",YEAR(A234))</f>
        <v/>
      </c>
    </row>
    <row r="235">
      <c r="A235" s="10" t="n"/>
      <c r="B235" s="9" t="n"/>
      <c r="C235" s="9" t="n"/>
      <c r="D235" s="9" t="n"/>
      <c r="E235" s="9" t="n"/>
      <c r="F235" s="13">
        <f>IF(OR(A235="",E235=""),"",IF(A235&gt;=Settings!$B$7,Settings!$B$6,Settings!$B$5))</f>
        <v/>
      </c>
      <c r="G235" s="7">
        <f>IF(F235="","",E235*F235)</f>
        <v/>
      </c>
      <c r="H235">
        <f>IF(A235="","",YEAR(A235))</f>
        <v/>
      </c>
    </row>
    <row r="236">
      <c r="A236" s="10" t="n"/>
      <c r="B236" s="9" t="n"/>
      <c r="C236" s="9" t="n"/>
      <c r="D236" s="9" t="n"/>
      <c r="E236" s="9" t="n"/>
      <c r="F236" s="13">
        <f>IF(OR(A236="",E236=""),"",IF(A236&gt;=Settings!$B$7,Settings!$B$6,Settings!$B$5))</f>
        <v/>
      </c>
      <c r="G236" s="7">
        <f>IF(F236="","",E236*F236)</f>
        <v/>
      </c>
      <c r="H236">
        <f>IF(A236="","",YEAR(A236))</f>
        <v/>
      </c>
    </row>
    <row r="237">
      <c r="A237" s="10" t="n"/>
      <c r="B237" s="9" t="n"/>
      <c r="C237" s="9" t="n"/>
      <c r="D237" s="9" t="n"/>
      <c r="E237" s="9" t="n"/>
      <c r="F237" s="13">
        <f>IF(OR(A237="",E237=""),"",IF(A237&gt;=Settings!$B$7,Settings!$B$6,Settings!$B$5))</f>
        <v/>
      </c>
      <c r="G237" s="7">
        <f>IF(F237="","",E237*F237)</f>
        <v/>
      </c>
      <c r="H237">
        <f>IF(A237="","",YEAR(A237))</f>
        <v/>
      </c>
    </row>
    <row r="238">
      <c r="A238" s="10" t="n"/>
      <c r="B238" s="9" t="n"/>
      <c r="C238" s="9" t="n"/>
      <c r="D238" s="9" t="n"/>
      <c r="E238" s="9" t="n"/>
      <c r="F238" s="13">
        <f>IF(OR(A238="",E238=""),"",IF(A238&gt;=Settings!$B$7,Settings!$B$6,Settings!$B$5))</f>
        <v/>
      </c>
      <c r="G238" s="7">
        <f>IF(F238="","",E238*F238)</f>
        <v/>
      </c>
      <c r="H238">
        <f>IF(A238="","",YEAR(A238))</f>
        <v/>
      </c>
    </row>
    <row r="239">
      <c r="A239" s="10" t="n"/>
      <c r="B239" s="9" t="n"/>
      <c r="C239" s="9" t="n"/>
      <c r="D239" s="9" t="n"/>
      <c r="E239" s="9" t="n"/>
      <c r="F239" s="13">
        <f>IF(OR(A239="",E239=""),"",IF(A239&gt;=Settings!$B$7,Settings!$B$6,Settings!$B$5))</f>
        <v/>
      </c>
      <c r="G239" s="7">
        <f>IF(F239="","",E239*F239)</f>
        <v/>
      </c>
      <c r="H239">
        <f>IF(A239="","",YEAR(A239))</f>
        <v/>
      </c>
    </row>
    <row r="240">
      <c r="A240" s="10" t="n"/>
      <c r="B240" s="9" t="n"/>
      <c r="C240" s="9" t="n"/>
      <c r="D240" s="9" t="n"/>
      <c r="E240" s="9" t="n"/>
      <c r="F240" s="13">
        <f>IF(OR(A240="",E240=""),"",IF(A240&gt;=Settings!$B$7,Settings!$B$6,Settings!$B$5))</f>
        <v/>
      </c>
      <c r="G240" s="7">
        <f>IF(F240="","",E240*F240)</f>
        <v/>
      </c>
      <c r="H240">
        <f>IF(A240="","",YEAR(A240))</f>
        <v/>
      </c>
    </row>
    <row r="241">
      <c r="A241" s="10" t="n"/>
      <c r="B241" s="9" t="n"/>
      <c r="C241" s="9" t="n"/>
      <c r="D241" s="9" t="n"/>
      <c r="E241" s="9" t="n"/>
      <c r="F241" s="13">
        <f>IF(OR(A241="",E241=""),"",IF(A241&gt;=Settings!$B$7,Settings!$B$6,Settings!$B$5))</f>
        <v/>
      </c>
      <c r="G241" s="7">
        <f>IF(F241="","",E241*F241)</f>
        <v/>
      </c>
      <c r="H241">
        <f>IF(A241="","",YEAR(A241))</f>
        <v/>
      </c>
    </row>
    <row r="242">
      <c r="A242" s="10" t="n"/>
      <c r="B242" s="9" t="n"/>
      <c r="C242" s="9" t="n"/>
      <c r="D242" s="9" t="n"/>
      <c r="E242" s="9" t="n"/>
      <c r="F242" s="13">
        <f>IF(OR(A242="",E242=""),"",IF(A242&gt;=Settings!$B$7,Settings!$B$6,Settings!$B$5))</f>
        <v/>
      </c>
      <c r="G242" s="7">
        <f>IF(F242="","",E242*F242)</f>
        <v/>
      </c>
      <c r="H242">
        <f>IF(A242="","",YEAR(A242))</f>
        <v/>
      </c>
    </row>
    <row r="243">
      <c r="A243" s="10" t="n"/>
      <c r="B243" s="9" t="n"/>
      <c r="C243" s="9" t="n"/>
      <c r="D243" s="9" t="n"/>
      <c r="E243" s="9" t="n"/>
      <c r="F243" s="13">
        <f>IF(OR(A243="",E243=""),"",IF(A243&gt;=Settings!$B$7,Settings!$B$6,Settings!$B$5))</f>
        <v/>
      </c>
      <c r="G243" s="7">
        <f>IF(F243="","",E243*F243)</f>
        <v/>
      </c>
      <c r="H243">
        <f>IF(A243="","",YEAR(A243))</f>
        <v/>
      </c>
    </row>
    <row r="244">
      <c r="A244" s="10" t="n"/>
      <c r="B244" s="9" t="n"/>
      <c r="C244" s="9" t="n"/>
      <c r="D244" s="9" t="n"/>
      <c r="E244" s="9" t="n"/>
      <c r="F244" s="13">
        <f>IF(OR(A244="",E244=""),"",IF(A244&gt;=Settings!$B$7,Settings!$B$6,Settings!$B$5))</f>
        <v/>
      </c>
      <c r="G244" s="7">
        <f>IF(F244="","",E244*F244)</f>
        <v/>
      </c>
      <c r="H244">
        <f>IF(A244="","",YEAR(A244))</f>
        <v/>
      </c>
    </row>
    <row r="245">
      <c r="A245" s="10" t="n"/>
      <c r="B245" s="9" t="n"/>
      <c r="C245" s="9" t="n"/>
      <c r="D245" s="9" t="n"/>
      <c r="E245" s="9" t="n"/>
      <c r="F245" s="13">
        <f>IF(OR(A245="",E245=""),"",IF(A245&gt;=Settings!$B$7,Settings!$B$6,Settings!$B$5))</f>
        <v/>
      </c>
      <c r="G245" s="7">
        <f>IF(F245="","",E245*F245)</f>
        <v/>
      </c>
      <c r="H245">
        <f>IF(A245="","",YEAR(A245))</f>
        <v/>
      </c>
    </row>
    <row r="246">
      <c r="A246" s="10" t="n"/>
      <c r="B246" s="9" t="n"/>
      <c r="C246" s="9" t="n"/>
      <c r="D246" s="9" t="n"/>
      <c r="E246" s="9" t="n"/>
      <c r="F246" s="13">
        <f>IF(OR(A246="",E246=""),"",IF(A246&gt;=Settings!$B$7,Settings!$B$6,Settings!$B$5))</f>
        <v/>
      </c>
      <c r="G246" s="7">
        <f>IF(F246="","",E246*F246)</f>
        <v/>
      </c>
      <c r="H246">
        <f>IF(A246="","",YEAR(A246))</f>
        <v/>
      </c>
    </row>
    <row r="247">
      <c r="A247" s="10" t="n"/>
      <c r="B247" s="9" t="n"/>
      <c r="C247" s="9" t="n"/>
      <c r="D247" s="9" t="n"/>
      <c r="E247" s="9" t="n"/>
      <c r="F247" s="13">
        <f>IF(OR(A247="",E247=""),"",IF(A247&gt;=Settings!$B$7,Settings!$B$6,Settings!$B$5))</f>
        <v/>
      </c>
      <c r="G247" s="7">
        <f>IF(F247="","",E247*F247)</f>
        <v/>
      </c>
      <c r="H247">
        <f>IF(A247="","",YEAR(A247))</f>
        <v/>
      </c>
    </row>
    <row r="248">
      <c r="A248" s="10" t="n"/>
      <c r="B248" s="9" t="n"/>
      <c r="C248" s="9" t="n"/>
      <c r="D248" s="9" t="n"/>
      <c r="E248" s="9" t="n"/>
      <c r="F248" s="13">
        <f>IF(OR(A248="",E248=""),"",IF(A248&gt;=Settings!$B$7,Settings!$B$6,Settings!$B$5))</f>
        <v/>
      </c>
      <c r="G248" s="7">
        <f>IF(F248="","",E248*F248)</f>
        <v/>
      </c>
      <c r="H248">
        <f>IF(A248="","",YEAR(A248))</f>
        <v/>
      </c>
    </row>
    <row r="249">
      <c r="A249" s="10" t="n"/>
      <c r="B249" s="9" t="n"/>
      <c r="C249" s="9" t="n"/>
      <c r="D249" s="9" t="n"/>
      <c r="E249" s="9" t="n"/>
      <c r="F249" s="13">
        <f>IF(OR(A249="",E249=""),"",IF(A249&gt;=Settings!$B$7,Settings!$B$6,Settings!$B$5))</f>
        <v/>
      </c>
      <c r="G249" s="7">
        <f>IF(F249="","",E249*F249)</f>
        <v/>
      </c>
      <c r="H249">
        <f>IF(A249="","",YEAR(A249))</f>
        <v/>
      </c>
    </row>
    <row r="250">
      <c r="A250" s="10" t="n"/>
      <c r="B250" s="9" t="n"/>
      <c r="C250" s="9" t="n"/>
      <c r="D250" s="9" t="n"/>
      <c r="E250" s="9" t="n"/>
      <c r="F250" s="13">
        <f>IF(OR(A250="",E250=""),"",IF(A250&gt;=Settings!$B$7,Settings!$B$6,Settings!$B$5))</f>
        <v/>
      </c>
      <c r="G250" s="7">
        <f>IF(F250="","",E250*F250)</f>
        <v/>
      </c>
      <c r="H250">
        <f>IF(A250="","",YEAR(A250))</f>
        <v/>
      </c>
    </row>
    <row r="251">
      <c r="A251" s="10" t="n"/>
      <c r="B251" s="9" t="n"/>
      <c r="C251" s="9" t="n"/>
      <c r="D251" s="9" t="n"/>
      <c r="E251" s="9" t="n"/>
      <c r="F251" s="13">
        <f>IF(OR(A251="",E251=""),"",IF(A251&gt;=Settings!$B$7,Settings!$B$6,Settings!$B$5))</f>
        <v/>
      </c>
      <c r="G251" s="7">
        <f>IF(F251="","",E251*F251)</f>
        <v/>
      </c>
      <c r="H251">
        <f>IF(A251="","",YEAR(A251))</f>
        <v/>
      </c>
    </row>
    <row r="252">
      <c r="A252" s="10" t="n"/>
      <c r="B252" s="9" t="n"/>
      <c r="C252" s="9" t="n"/>
      <c r="D252" s="9" t="n"/>
      <c r="E252" s="9" t="n"/>
      <c r="F252" s="13">
        <f>IF(OR(A252="",E252=""),"",IF(A252&gt;=Settings!$B$7,Settings!$B$6,Settings!$B$5))</f>
        <v/>
      </c>
      <c r="G252" s="7">
        <f>IF(F252="","",E252*F252)</f>
        <v/>
      </c>
      <c r="H252">
        <f>IF(A252="","",YEAR(A252))</f>
        <v/>
      </c>
    </row>
    <row r="253">
      <c r="A253" s="10" t="n"/>
      <c r="B253" s="9" t="n"/>
      <c r="C253" s="9" t="n"/>
      <c r="D253" s="9" t="n"/>
      <c r="E253" s="9" t="n"/>
      <c r="F253" s="13">
        <f>IF(OR(A253="",E253=""),"",IF(A253&gt;=Settings!$B$7,Settings!$B$6,Settings!$B$5))</f>
        <v/>
      </c>
      <c r="G253" s="7">
        <f>IF(F253="","",E253*F253)</f>
        <v/>
      </c>
      <c r="H253">
        <f>IF(A253="","",YEAR(A253))</f>
        <v/>
      </c>
    </row>
    <row r="254">
      <c r="A254" s="10" t="n"/>
      <c r="B254" s="9" t="n"/>
      <c r="C254" s="9" t="n"/>
      <c r="D254" s="9" t="n"/>
      <c r="E254" s="9" t="n"/>
      <c r="F254" s="13">
        <f>IF(OR(A254="",E254=""),"",IF(A254&gt;=Settings!$B$7,Settings!$B$6,Settings!$B$5))</f>
        <v/>
      </c>
      <c r="G254" s="7">
        <f>IF(F254="","",E254*F254)</f>
        <v/>
      </c>
      <c r="H254">
        <f>IF(A254="","",YEAR(A254))</f>
        <v/>
      </c>
    </row>
    <row r="255">
      <c r="A255" s="10" t="n"/>
      <c r="B255" s="9" t="n"/>
      <c r="C255" s="9" t="n"/>
      <c r="D255" s="9" t="n"/>
      <c r="E255" s="9" t="n"/>
      <c r="F255" s="13">
        <f>IF(OR(A255="",E255=""),"",IF(A255&gt;=Settings!$B$7,Settings!$B$6,Settings!$B$5))</f>
        <v/>
      </c>
      <c r="G255" s="7">
        <f>IF(F255="","",E255*F255)</f>
        <v/>
      </c>
      <c r="H255">
        <f>IF(A255="","",YEAR(A255))</f>
        <v/>
      </c>
    </row>
    <row r="256">
      <c r="A256" s="10" t="n"/>
      <c r="B256" s="9" t="n"/>
      <c r="C256" s="9" t="n"/>
      <c r="D256" s="9" t="n"/>
      <c r="E256" s="9" t="n"/>
      <c r="F256" s="13">
        <f>IF(OR(A256="",E256=""),"",IF(A256&gt;=Settings!$B$7,Settings!$B$6,Settings!$B$5))</f>
        <v/>
      </c>
      <c r="G256" s="7">
        <f>IF(F256="","",E256*F256)</f>
        <v/>
      </c>
      <c r="H256">
        <f>IF(A256="","",YEAR(A256))</f>
        <v/>
      </c>
    </row>
    <row r="257">
      <c r="A257" s="10" t="n"/>
      <c r="B257" s="9" t="n"/>
      <c r="C257" s="9" t="n"/>
      <c r="D257" s="9" t="n"/>
      <c r="E257" s="9" t="n"/>
      <c r="F257" s="13">
        <f>IF(OR(A257="",E257=""),"",IF(A257&gt;=Settings!$B$7,Settings!$B$6,Settings!$B$5))</f>
        <v/>
      </c>
      <c r="G257" s="7">
        <f>IF(F257="","",E257*F257)</f>
        <v/>
      </c>
      <c r="H257">
        <f>IF(A257="","",YEAR(A257))</f>
        <v/>
      </c>
    </row>
    <row r="258">
      <c r="A258" s="10" t="n"/>
      <c r="B258" s="9" t="n"/>
      <c r="C258" s="9" t="n"/>
      <c r="D258" s="9" t="n"/>
      <c r="E258" s="9" t="n"/>
      <c r="F258" s="13">
        <f>IF(OR(A258="",E258=""),"",IF(A258&gt;=Settings!$B$7,Settings!$B$6,Settings!$B$5))</f>
        <v/>
      </c>
      <c r="G258" s="7">
        <f>IF(F258="","",E258*F258)</f>
        <v/>
      </c>
      <c r="H258">
        <f>IF(A258="","",YEAR(A258))</f>
        <v/>
      </c>
    </row>
    <row r="259">
      <c r="A259" s="10" t="n"/>
      <c r="B259" s="9" t="n"/>
      <c r="C259" s="9" t="n"/>
      <c r="D259" s="9" t="n"/>
      <c r="E259" s="9" t="n"/>
      <c r="F259" s="13">
        <f>IF(OR(A259="",E259=""),"",IF(A259&gt;=Settings!$B$7,Settings!$B$6,Settings!$B$5))</f>
        <v/>
      </c>
      <c r="G259" s="7">
        <f>IF(F259="","",E259*F259)</f>
        <v/>
      </c>
      <c r="H259">
        <f>IF(A259="","",YEAR(A259))</f>
        <v/>
      </c>
    </row>
    <row r="260">
      <c r="A260" s="10" t="n"/>
      <c r="B260" s="9" t="n"/>
      <c r="C260" s="9" t="n"/>
      <c r="D260" s="9" t="n"/>
      <c r="E260" s="9" t="n"/>
      <c r="F260" s="13">
        <f>IF(OR(A260="",E260=""),"",IF(A260&gt;=Settings!$B$7,Settings!$B$6,Settings!$B$5))</f>
        <v/>
      </c>
      <c r="G260" s="7">
        <f>IF(F260="","",E260*F260)</f>
        <v/>
      </c>
      <c r="H260">
        <f>IF(A260="","",YEAR(A260))</f>
        <v/>
      </c>
    </row>
    <row r="261">
      <c r="A261" s="10" t="n"/>
      <c r="B261" s="9" t="n"/>
      <c r="C261" s="9" t="n"/>
      <c r="D261" s="9" t="n"/>
      <c r="E261" s="9" t="n"/>
      <c r="F261" s="13">
        <f>IF(OR(A261="",E261=""),"",IF(A261&gt;=Settings!$B$7,Settings!$B$6,Settings!$B$5))</f>
        <v/>
      </c>
      <c r="G261" s="7">
        <f>IF(F261="","",E261*F261)</f>
        <v/>
      </c>
      <c r="H261">
        <f>IF(A261="","",YEAR(A261))</f>
        <v/>
      </c>
    </row>
    <row r="262">
      <c r="A262" s="10" t="n"/>
      <c r="B262" s="9" t="n"/>
      <c r="C262" s="9" t="n"/>
      <c r="D262" s="9" t="n"/>
      <c r="E262" s="9" t="n"/>
      <c r="F262" s="13">
        <f>IF(OR(A262="",E262=""),"",IF(A262&gt;=Settings!$B$7,Settings!$B$6,Settings!$B$5))</f>
        <v/>
      </c>
      <c r="G262" s="7">
        <f>IF(F262="","",E262*F262)</f>
        <v/>
      </c>
      <c r="H262">
        <f>IF(A262="","",YEAR(A262))</f>
        <v/>
      </c>
    </row>
    <row r="263">
      <c r="A263" s="10" t="n"/>
      <c r="B263" s="9" t="n"/>
      <c r="C263" s="9" t="n"/>
      <c r="D263" s="9" t="n"/>
      <c r="E263" s="9" t="n"/>
      <c r="F263" s="13">
        <f>IF(OR(A263="",E263=""),"",IF(A263&gt;=Settings!$B$7,Settings!$B$6,Settings!$B$5))</f>
        <v/>
      </c>
      <c r="G263" s="7">
        <f>IF(F263="","",E263*F263)</f>
        <v/>
      </c>
      <c r="H263">
        <f>IF(A263="","",YEAR(A263))</f>
        <v/>
      </c>
    </row>
    <row r="264">
      <c r="A264" s="10" t="n"/>
      <c r="B264" s="9" t="n"/>
      <c r="C264" s="9" t="n"/>
      <c r="D264" s="9" t="n"/>
      <c r="E264" s="9" t="n"/>
      <c r="F264" s="13">
        <f>IF(OR(A264="",E264=""),"",IF(A264&gt;=Settings!$B$7,Settings!$B$6,Settings!$B$5))</f>
        <v/>
      </c>
      <c r="G264" s="7">
        <f>IF(F264="","",E264*F264)</f>
        <v/>
      </c>
      <c r="H264">
        <f>IF(A264="","",YEAR(A264))</f>
        <v/>
      </c>
    </row>
    <row r="265">
      <c r="A265" s="10" t="n"/>
      <c r="B265" s="9" t="n"/>
      <c r="C265" s="9" t="n"/>
      <c r="D265" s="9" t="n"/>
      <c r="E265" s="9" t="n"/>
      <c r="F265" s="13">
        <f>IF(OR(A265="",E265=""),"",IF(A265&gt;=Settings!$B$7,Settings!$B$6,Settings!$B$5))</f>
        <v/>
      </c>
      <c r="G265" s="7">
        <f>IF(F265="","",E265*F265)</f>
        <v/>
      </c>
      <c r="H265">
        <f>IF(A265="","",YEAR(A265))</f>
        <v/>
      </c>
    </row>
    <row r="266">
      <c r="A266" s="10" t="n"/>
      <c r="B266" s="9" t="n"/>
      <c r="C266" s="9" t="n"/>
      <c r="D266" s="9" t="n"/>
      <c r="E266" s="9" t="n"/>
      <c r="F266" s="13">
        <f>IF(OR(A266="",E266=""),"",IF(A266&gt;=Settings!$B$7,Settings!$B$6,Settings!$B$5))</f>
        <v/>
      </c>
      <c r="G266" s="7">
        <f>IF(F266="","",E266*F266)</f>
        <v/>
      </c>
      <c r="H266">
        <f>IF(A266="","",YEAR(A266))</f>
        <v/>
      </c>
    </row>
    <row r="267">
      <c r="A267" s="10" t="n"/>
      <c r="B267" s="9" t="n"/>
      <c r="C267" s="9" t="n"/>
      <c r="D267" s="9" t="n"/>
      <c r="E267" s="9" t="n"/>
      <c r="F267" s="13">
        <f>IF(OR(A267="",E267=""),"",IF(A267&gt;=Settings!$B$7,Settings!$B$6,Settings!$B$5))</f>
        <v/>
      </c>
      <c r="G267" s="7">
        <f>IF(F267="","",E267*F267)</f>
        <v/>
      </c>
      <c r="H267">
        <f>IF(A267="","",YEAR(A267))</f>
        <v/>
      </c>
    </row>
    <row r="268">
      <c r="A268" s="10" t="n"/>
      <c r="B268" s="9" t="n"/>
      <c r="C268" s="9" t="n"/>
      <c r="D268" s="9" t="n"/>
      <c r="E268" s="9" t="n"/>
      <c r="F268" s="13">
        <f>IF(OR(A268="",E268=""),"",IF(A268&gt;=Settings!$B$7,Settings!$B$6,Settings!$B$5))</f>
        <v/>
      </c>
      <c r="G268" s="7">
        <f>IF(F268="","",E268*F268)</f>
        <v/>
      </c>
      <c r="H268">
        <f>IF(A268="","",YEAR(A268))</f>
        <v/>
      </c>
    </row>
    <row r="269">
      <c r="A269" s="10" t="n"/>
      <c r="B269" s="9" t="n"/>
      <c r="C269" s="9" t="n"/>
      <c r="D269" s="9" t="n"/>
      <c r="E269" s="9" t="n"/>
      <c r="F269" s="13">
        <f>IF(OR(A269="",E269=""),"",IF(A269&gt;=Settings!$B$7,Settings!$B$6,Settings!$B$5))</f>
        <v/>
      </c>
      <c r="G269" s="7">
        <f>IF(F269="","",E269*F269)</f>
        <v/>
      </c>
      <c r="H269">
        <f>IF(A269="","",YEAR(A269))</f>
        <v/>
      </c>
    </row>
    <row r="270">
      <c r="A270" s="10" t="n"/>
      <c r="B270" s="9" t="n"/>
      <c r="C270" s="9" t="n"/>
      <c r="D270" s="9" t="n"/>
      <c r="E270" s="9" t="n"/>
      <c r="F270" s="13">
        <f>IF(OR(A270="",E270=""),"",IF(A270&gt;=Settings!$B$7,Settings!$B$6,Settings!$B$5))</f>
        <v/>
      </c>
      <c r="G270" s="7">
        <f>IF(F270="","",E270*F270)</f>
        <v/>
      </c>
      <c r="H270">
        <f>IF(A270="","",YEAR(A270))</f>
        <v/>
      </c>
    </row>
    <row r="271">
      <c r="A271" s="10" t="n"/>
      <c r="B271" s="9" t="n"/>
      <c r="C271" s="9" t="n"/>
      <c r="D271" s="9" t="n"/>
      <c r="E271" s="9" t="n"/>
      <c r="F271" s="13">
        <f>IF(OR(A271="",E271=""),"",IF(A271&gt;=Settings!$B$7,Settings!$B$6,Settings!$B$5))</f>
        <v/>
      </c>
      <c r="G271" s="7">
        <f>IF(F271="","",E271*F271)</f>
        <v/>
      </c>
      <c r="H271">
        <f>IF(A271="","",YEAR(A271))</f>
        <v/>
      </c>
    </row>
    <row r="272">
      <c r="A272" s="10" t="n"/>
      <c r="B272" s="9" t="n"/>
      <c r="C272" s="9" t="n"/>
      <c r="D272" s="9" t="n"/>
      <c r="E272" s="9" t="n"/>
      <c r="F272" s="13">
        <f>IF(OR(A272="",E272=""),"",IF(A272&gt;=Settings!$B$7,Settings!$B$6,Settings!$B$5))</f>
        <v/>
      </c>
      <c r="G272" s="7">
        <f>IF(F272="","",E272*F272)</f>
        <v/>
      </c>
      <c r="H272">
        <f>IF(A272="","",YEAR(A272))</f>
        <v/>
      </c>
    </row>
    <row r="273">
      <c r="A273" s="10" t="n"/>
      <c r="B273" s="9" t="n"/>
      <c r="C273" s="9" t="n"/>
      <c r="D273" s="9" t="n"/>
      <c r="E273" s="9" t="n"/>
      <c r="F273" s="13">
        <f>IF(OR(A273="",E273=""),"",IF(A273&gt;=Settings!$B$7,Settings!$B$6,Settings!$B$5))</f>
        <v/>
      </c>
      <c r="G273" s="7">
        <f>IF(F273="","",E273*F273)</f>
        <v/>
      </c>
      <c r="H273">
        <f>IF(A273="","",YEAR(A273))</f>
        <v/>
      </c>
    </row>
    <row r="274">
      <c r="A274" s="10" t="n"/>
      <c r="B274" s="9" t="n"/>
      <c r="C274" s="9" t="n"/>
      <c r="D274" s="9" t="n"/>
      <c r="E274" s="9" t="n"/>
      <c r="F274" s="13">
        <f>IF(OR(A274="",E274=""),"",IF(A274&gt;=Settings!$B$7,Settings!$B$6,Settings!$B$5))</f>
        <v/>
      </c>
      <c r="G274" s="7">
        <f>IF(F274="","",E274*F274)</f>
        <v/>
      </c>
      <c r="H274">
        <f>IF(A274="","",YEAR(A274))</f>
        <v/>
      </c>
    </row>
    <row r="275">
      <c r="A275" s="10" t="n"/>
      <c r="B275" s="9" t="n"/>
      <c r="C275" s="9" t="n"/>
      <c r="D275" s="9" t="n"/>
      <c r="E275" s="9" t="n"/>
      <c r="F275" s="13">
        <f>IF(OR(A275="",E275=""),"",IF(A275&gt;=Settings!$B$7,Settings!$B$6,Settings!$B$5))</f>
        <v/>
      </c>
      <c r="G275" s="7">
        <f>IF(F275="","",E275*F275)</f>
        <v/>
      </c>
      <c r="H275">
        <f>IF(A275="","",YEAR(A275))</f>
        <v/>
      </c>
    </row>
    <row r="276">
      <c r="A276" s="10" t="n"/>
      <c r="B276" s="9" t="n"/>
      <c r="C276" s="9" t="n"/>
      <c r="D276" s="9" t="n"/>
      <c r="E276" s="9" t="n"/>
      <c r="F276" s="13">
        <f>IF(OR(A276="",E276=""),"",IF(A276&gt;=Settings!$B$7,Settings!$B$6,Settings!$B$5))</f>
        <v/>
      </c>
      <c r="G276" s="7">
        <f>IF(F276="","",E276*F276)</f>
        <v/>
      </c>
      <c r="H276">
        <f>IF(A276="","",YEAR(A276))</f>
        <v/>
      </c>
    </row>
    <row r="277">
      <c r="A277" s="10" t="n"/>
      <c r="B277" s="9" t="n"/>
      <c r="C277" s="9" t="n"/>
      <c r="D277" s="9" t="n"/>
      <c r="E277" s="9" t="n"/>
      <c r="F277" s="13">
        <f>IF(OR(A277="",E277=""),"",IF(A277&gt;=Settings!$B$7,Settings!$B$6,Settings!$B$5))</f>
        <v/>
      </c>
      <c r="G277" s="7">
        <f>IF(F277="","",E277*F277)</f>
        <v/>
      </c>
      <c r="H277">
        <f>IF(A277="","",YEAR(A277))</f>
        <v/>
      </c>
    </row>
    <row r="278">
      <c r="A278" s="10" t="n"/>
      <c r="B278" s="9" t="n"/>
      <c r="C278" s="9" t="n"/>
      <c r="D278" s="9" t="n"/>
      <c r="E278" s="9" t="n"/>
      <c r="F278" s="13">
        <f>IF(OR(A278="",E278=""),"",IF(A278&gt;=Settings!$B$7,Settings!$B$6,Settings!$B$5))</f>
        <v/>
      </c>
      <c r="G278" s="7">
        <f>IF(F278="","",E278*F278)</f>
        <v/>
      </c>
      <c r="H278">
        <f>IF(A278="","",YEAR(A278))</f>
        <v/>
      </c>
    </row>
    <row r="279">
      <c r="A279" s="10" t="n"/>
      <c r="B279" s="9" t="n"/>
      <c r="C279" s="9" t="n"/>
      <c r="D279" s="9" t="n"/>
      <c r="E279" s="9" t="n"/>
      <c r="F279" s="13">
        <f>IF(OR(A279="",E279=""),"",IF(A279&gt;=Settings!$B$7,Settings!$B$6,Settings!$B$5))</f>
        <v/>
      </c>
      <c r="G279" s="7">
        <f>IF(F279="","",E279*F279)</f>
        <v/>
      </c>
      <c r="H279">
        <f>IF(A279="","",YEAR(A279))</f>
        <v/>
      </c>
    </row>
    <row r="280">
      <c r="A280" s="10" t="n"/>
      <c r="B280" s="9" t="n"/>
      <c r="C280" s="9" t="n"/>
      <c r="D280" s="9" t="n"/>
      <c r="E280" s="9" t="n"/>
      <c r="F280" s="13">
        <f>IF(OR(A280="",E280=""),"",IF(A280&gt;=Settings!$B$7,Settings!$B$6,Settings!$B$5))</f>
        <v/>
      </c>
      <c r="G280" s="7">
        <f>IF(F280="","",E280*F280)</f>
        <v/>
      </c>
      <c r="H280">
        <f>IF(A280="","",YEAR(A280))</f>
        <v/>
      </c>
    </row>
    <row r="281">
      <c r="A281" s="10" t="n"/>
      <c r="B281" s="9" t="n"/>
      <c r="C281" s="9" t="n"/>
      <c r="D281" s="9" t="n"/>
      <c r="E281" s="9" t="n"/>
      <c r="F281" s="13">
        <f>IF(OR(A281="",E281=""),"",IF(A281&gt;=Settings!$B$7,Settings!$B$6,Settings!$B$5))</f>
        <v/>
      </c>
      <c r="G281" s="7">
        <f>IF(F281="","",E281*F281)</f>
        <v/>
      </c>
      <c r="H281">
        <f>IF(A281="","",YEAR(A281))</f>
        <v/>
      </c>
    </row>
    <row r="282">
      <c r="A282" s="10" t="n"/>
      <c r="B282" s="9" t="n"/>
      <c r="C282" s="9" t="n"/>
      <c r="D282" s="9" t="n"/>
      <c r="E282" s="9" t="n"/>
      <c r="F282" s="13">
        <f>IF(OR(A282="",E282=""),"",IF(A282&gt;=Settings!$B$7,Settings!$B$6,Settings!$B$5))</f>
        <v/>
      </c>
      <c r="G282" s="7">
        <f>IF(F282="","",E282*F282)</f>
        <v/>
      </c>
      <c r="H282">
        <f>IF(A282="","",YEAR(A282))</f>
        <v/>
      </c>
    </row>
    <row r="283">
      <c r="A283" s="10" t="n"/>
      <c r="B283" s="9" t="n"/>
      <c r="C283" s="9" t="n"/>
      <c r="D283" s="9" t="n"/>
      <c r="E283" s="9" t="n"/>
      <c r="F283" s="13">
        <f>IF(OR(A283="",E283=""),"",IF(A283&gt;=Settings!$B$7,Settings!$B$6,Settings!$B$5))</f>
        <v/>
      </c>
      <c r="G283" s="7">
        <f>IF(F283="","",E283*F283)</f>
        <v/>
      </c>
      <c r="H283">
        <f>IF(A283="","",YEAR(A283))</f>
        <v/>
      </c>
    </row>
    <row r="284">
      <c r="A284" s="10" t="n"/>
      <c r="B284" s="9" t="n"/>
      <c r="C284" s="9" t="n"/>
      <c r="D284" s="9" t="n"/>
      <c r="E284" s="9" t="n"/>
      <c r="F284" s="13">
        <f>IF(OR(A284="",E284=""),"",IF(A284&gt;=Settings!$B$7,Settings!$B$6,Settings!$B$5))</f>
        <v/>
      </c>
      <c r="G284" s="7">
        <f>IF(F284="","",E284*F284)</f>
        <v/>
      </c>
      <c r="H284">
        <f>IF(A284="","",YEAR(A284))</f>
        <v/>
      </c>
    </row>
    <row r="285">
      <c r="A285" s="10" t="n"/>
      <c r="B285" s="9" t="n"/>
      <c r="C285" s="9" t="n"/>
      <c r="D285" s="9" t="n"/>
      <c r="E285" s="9" t="n"/>
      <c r="F285" s="13">
        <f>IF(OR(A285="",E285=""),"",IF(A285&gt;=Settings!$B$7,Settings!$B$6,Settings!$B$5))</f>
        <v/>
      </c>
      <c r="G285" s="7">
        <f>IF(F285="","",E285*F285)</f>
        <v/>
      </c>
      <c r="H285">
        <f>IF(A285="","",YEAR(A285))</f>
        <v/>
      </c>
    </row>
    <row r="286">
      <c r="A286" s="10" t="n"/>
      <c r="B286" s="9" t="n"/>
      <c r="C286" s="9" t="n"/>
      <c r="D286" s="9" t="n"/>
      <c r="E286" s="9" t="n"/>
      <c r="F286" s="13">
        <f>IF(OR(A286="",E286=""),"",IF(A286&gt;=Settings!$B$7,Settings!$B$6,Settings!$B$5))</f>
        <v/>
      </c>
      <c r="G286" s="7">
        <f>IF(F286="","",E286*F286)</f>
        <v/>
      </c>
      <c r="H286">
        <f>IF(A286="","",YEAR(A286))</f>
        <v/>
      </c>
    </row>
    <row r="287">
      <c r="A287" s="10" t="n"/>
      <c r="B287" s="9" t="n"/>
      <c r="C287" s="9" t="n"/>
      <c r="D287" s="9" t="n"/>
      <c r="E287" s="9" t="n"/>
      <c r="F287" s="13">
        <f>IF(OR(A287="",E287=""),"",IF(A287&gt;=Settings!$B$7,Settings!$B$6,Settings!$B$5))</f>
        <v/>
      </c>
      <c r="G287" s="7">
        <f>IF(F287="","",E287*F287)</f>
        <v/>
      </c>
      <c r="H287">
        <f>IF(A287="","",YEAR(A287))</f>
        <v/>
      </c>
    </row>
    <row r="288">
      <c r="A288" s="10" t="n"/>
      <c r="B288" s="9" t="n"/>
      <c r="C288" s="9" t="n"/>
      <c r="D288" s="9" t="n"/>
      <c r="E288" s="9" t="n"/>
      <c r="F288" s="13">
        <f>IF(OR(A288="",E288=""),"",IF(A288&gt;=Settings!$B$7,Settings!$B$6,Settings!$B$5))</f>
        <v/>
      </c>
      <c r="G288" s="7">
        <f>IF(F288="","",E288*F288)</f>
        <v/>
      </c>
      <c r="H288">
        <f>IF(A288="","",YEAR(A288))</f>
        <v/>
      </c>
    </row>
    <row r="289">
      <c r="A289" s="10" t="n"/>
      <c r="B289" s="9" t="n"/>
      <c r="C289" s="9" t="n"/>
      <c r="D289" s="9" t="n"/>
      <c r="E289" s="9" t="n"/>
      <c r="F289" s="13">
        <f>IF(OR(A289="",E289=""),"",IF(A289&gt;=Settings!$B$7,Settings!$B$6,Settings!$B$5))</f>
        <v/>
      </c>
      <c r="G289" s="7">
        <f>IF(F289="","",E289*F289)</f>
        <v/>
      </c>
      <c r="H289">
        <f>IF(A289="","",YEAR(A289))</f>
        <v/>
      </c>
    </row>
    <row r="290">
      <c r="A290" s="10" t="n"/>
      <c r="B290" s="9" t="n"/>
      <c r="C290" s="9" t="n"/>
      <c r="D290" s="9" t="n"/>
      <c r="E290" s="9" t="n"/>
      <c r="F290" s="13">
        <f>IF(OR(A290="",E290=""),"",IF(A290&gt;=Settings!$B$7,Settings!$B$6,Settings!$B$5))</f>
        <v/>
      </c>
      <c r="G290" s="7">
        <f>IF(F290="","",E290*F290)</f>
        <v/>
      </c>
      <c r="H290">
        <f>IF(A290="","",YEAR(A290))</f>
        <v/>
      </c>
    </row>
    <row r="291">
      <c r="A291" s="10" t="n"/>
      <c r="B291" s="9" t="n"/>
      <c r="C291" s="9" t="n"/>
      <c r="D291" s="9" t="n"/>
      <c r="E291" s="9" t="n"/>
      <c r="F291" s="13">
        <f>IF(OR(A291="",E291=""),"",IF(A291&gt;=Settings!$B$7,Settings!$B$6,Settings!$B$5))</f>
        <v/>
      </c>
      <c r="G291" s="7">
        <f>IF(F291="","",E291*F291)</f>
        <v/>
      </c>
      <c r="H291">
        <f>IF(A291="","",YEAR(A291))</f>
        <v/>
      </c>
    </row>
    <row r="292">
      <c r="A292" s="10" t="n"/>
      <c r="B292" s="9" t="n"/>
      <c r="C292" s="9" t="n"/>
      <c r="D292" s="9" t="n"/>
      <c r="E292" s="9" t="n"/>
      <c r="F292" s="13">
        <f>IF(OR(A292="",E292=""),"",IF(A292&gt;=Settings!$B$7,Settings!$B$6,Settings!$B$5))</f>
        <v/>
      </c>
      <c r="G292" s="7">
        <f>IF(F292="","",E292*F292)</f>
        <v/>
      </c>
      <c r="H292">
        <f>IF(A292="","",YEAR(A292))</f>
        <v/>
      </c>
    </row>
    <row r="293">
      <c r="A293" s="10" t="n"/>
      <c r="B293" s="9" t="n"/>
      <c r="C293" s="9" t="n"/>
      <c r="D293" s="9" t="n"/>
      <c r="E293" s="9" t="n"/>
      <c r="F293" s="13">
        <f>IF(OR(A293="",E293=""),"",IF(A293&gt;=Settings!$B$7,Settings!$B$6,Settings!$B$5))</f>
        <v/>
      </c>
      <c r="G293" s="7">
        <f>IF(F293="","",E293*F293)</f>
        <v/>
      </c>
      <c r="H293">
        <f>IF(A293="","",YEAR(A293))</f>
        <v/>
      </c>
    </row>
    <row r="294">
      <c r="A294" s="10" t="n"/>
      <c r="B294" s="9" t="n"/>
      <c r="C294" s="9" t="n"/>
      <c r="D294" s="9" t="n"/>
      <c r="E294" s="9" t="n"/>
      <c r="F294" s="13">
        <f>IF(OR(A294="",E294=""),"",IF(A294&gt;=Settings!$B$7,Settings!$B$6,Settings!$B$5))</f>
        <v/>
      </c>
      <c r="G294" s="7">
        <f>IF(F294="","",E294*F294)</f>
        <v/>
      </c>
      <c r="H294">
        <f>IF(A294="","",YEAR(A294))</f>
        <v/>
      </c>
    </row>
    <row r="295">
      <c r="A295" s="10" t="n"/>
      <c r="B295" s="9" t="n"/>
      <c r="C295" s="9" t="n"/>
      <c r="D295" s="9" t="n"/>
      <c r="E295" s="9" t="n"/>
      <c r="F295" s="13">
        <f>IF(OR(A295="",E295=""),"",IF(A295&gt;=Settings!$B$7,Settings!$B$6,Settings!$B$5))</f>
        <v/>
      </c>
      <c r="G295" s="7">
        <f>IF(F295="","",E295*F295)</f>
        <v/>
      </c>
      <c r="H295">
        <f>IF(A295="","",YEAR(A295))</f>
        <v/>
      </c>
    </row>
    <row r="296">
      <c r="A296" s="10" t="n"/>
      <c r="B296" s="9" t="n"/>
      <c r="C296" s="9" t="n"/>
      <c r="D296" s="9" t="n"/>
      <c r="E296" s="9" t="n"/>
      <c r="F296" s="13">
        <f>IF(OR(A296="",E296=""),"",IF(A296&gt;=Settings!$B$7,Settings!$B$6,Settings!$B$5))</f>
        <v/>
      </c>
      <c r="G296" s="7">
        <f>IF(F296="","",E296*F296)</f>
        <v/>
      </c>
      <c r="H296">
        <f>IF(A296="","",YEAR(A296))</f>
        <v/>
      </c>
    </row>
    <row r="297">
      <c r="A297" s="10" t="n"/>
      <c r="B297" s="9" t="n"/>
      <c r="C297" s="9" t="n"/>
      <c r="D297" s="9" t="n"/>
      <c r="E297" s="9" t="n"/>
      <c r="F297" s="13">
        <f>IF(OR(A297="",E297=""),"",IF(A297&gt;=Settings!$B$7,Settings!$B$6,Settings!$B$5))</f>
        <v/>
      </c>
      <c r="G297" s="7">
        <f>IF(F297="","",E297*F297)</f>
        <v/>
      </c>
      <c r="H297">
        <f>IF(A297="","",YEAR(A297))</f>
        <v/>
      </c>
    </row>
    <row r="298">
      <c r="A298" s="10" t="n"/>
      <c r="B298" s="9" t="n"/>
      <c r="C298" s="9" t="n"/>
      <c r="D298" s="9" t="n"/>
      <c r="E298" s="9" t="n"/>
      <c r="F298" s="13">
        <f>IF(OR(A298="",E298=""),"",IF(A298&gt;=Settings!$B$7,Settings!$B$6,Settings!$B$5))</f>
        <v/>
      </c>
      <c r="G298" s="7">
        <f>IF(F298="","",E298*F298)</f>
        <v/>
      </c>
      <c r="H298">
        <f>IF(A298="","",YEAR(A298))</f>
        <v/>
      </c>
    </row>
    <row r="299">
      <c r="A299" s="10" t="n"/>
      <c r="B299" s="9" t="n"/>
      <c r="C299" s="9" t="n"/>
      <c r="D299" s="9" t="n"/>
      <c r="E299" s="9" t="n"/>
      <c r="F299" s="13">
        <f>IF(OR(A299="",E299=""),"",IF(A299&gt;=Settings!$B$7,Settings!$B$6,Settings!$B$5))</f>
        <v/>
      </c>
      <c r="G299" s="7">
        <f>IF(F299="","",E299*F299)</f>
        <v/>
      </c>
      <c r="H299">
        <f>IF(A299="","",YEAR(A299))</f>
        <v/>
      </c>
    </row>
    <row r="300">
      <c r="A300" s="10" t="n"/>
      <c r="B300" s="9" t="n"/>
      <c r="C300" s="9" t="n"/>
      <c r="D300" s="9" t="n"/>
      <c r="E300" s="9" t="n"/>
      <c r="F300" s="13">
        <f>IF(OR(A300="",E300=""),"",IF(A300&gt;=Settings!$B$7,Settings!$B$6,Settings!$B$5))</f>
        <v/>
      </c>
      <c r="G300" s="7">
        <f>IF(F300="","",E300*F300)</f>
        <v/>
      </c>
      <c r="H300">
        <f>IF(A300="","",YEAR(A300))</f>
        <v/>
      </c>
    </row>
    <row r="301">
      <c r="A301" s="10" t="n"/>
      <c r="B301" s="9" t="n"/>
      <c r="C301" s="9" t="n"/>
      <c r="D301" s="9" t="n"/>
      <c r="E301" s="9" t="n"/>
      <c r="F301" s="13">
        <f>IF(OR(A301="",E301=""),"",IF(A301&gt;=Settings!$B$7,Settings!$B$6,Settings!$B$5))</f>
        <v/>
      </c>
      <c r="G301" s="7">
        <f>IF(F301="","",E301*F301)</f>
        <v/>
      </c>
      <c r="H301">
        <f>IF(A301="","",YEAR(A301))</f>
        <v/>
      </c>
    </row>
    <row r="302">
      <c r="A302" s="10" t="n"/>
      <c r="B302" s="9" t="n"/>
      <c r="C302" s="9" t="n"/>
      <c r="D302" s="9" t="n"/>
      <c r="E302" s="9" t="n"/>
      <c r="F302" s="13">
        <f>IF(OR(A302="",E302=""),"",IF(A302&gt;=Settings!$B$7,Settings!$B$6,Settings!$B$5))</f>
        <v/>
      </c>
      <c r="G302" s="7">
        <f>IF(F302="","",E302*F302)</f>
        <v/>
      </c>
      <c r="H302">
        <f>IF(A302="","",YEAR(A302))</f>
        <v/>
      </c>
    </row>
    <row r="303">
      <c r="A303" s="10" t="n"/>
      <c r="B303" s="9" t="n"/>
      <c r="C303" s="9" t="n"/>
      <c r="D303" s="9" t="n"/>
      <c r="E303" s="9" t="n"/>
      <c r="F303" s="13">
        <f>IF(OR(A303="",E303=""),"",IF(A303&gt;=Settings!$B$7,Settings!$B$6,Settings!$B$5))</f>
        <v/>
      </c>
      <c r="G303" s="7">
        <f>IF(F303="","",E303*F303)</f>
        <v/>
      </c>
      <c r="H303">
        <f>IF(A303="","",YEAR(A303))</f>
        <v/>
      </c>
    </row>
    <row r="304">
      <c r="A304" s="10" t="n"/>
      <c r="B304" s="9" t="n"/>
      <c r="C304" s="9" t="n"/>
      <c r="D304" s="9" t="n"/>
      <c r="E304" s="9" t="n"/>
      <c r="F304" s="13">
        <f>IF(OR(A304="",E304=""),"",IF(A304&gt;=Settings!$B$7,Settings!$B$6,Settings!$B$5))</f>
        <v/>
      </c>
      <c r="G304" s="7">
        <f>IF(F304="","",E304*F304)</f>
        <v/>
      </c>
      <c r="H304">
        <f>IF(A304="","",YEAR(A304))</f>
        <v/>
      </c>
    </row>
    <row r="305">
      <c r="A305" s="10" t="n"/>
      <c r="B305" s="9" t="n"/>
      <c r="C305" s="9" t="n"/>
      <c r="D305" s="9" t="n"/>
      <c r="E305" s="9" t="n"/>
      <c r="F305" s="13">
        <f>IF(OR(A305="",E305=""),"",IF(A305&gt;=Settings!$B$7,Settings!$B$6,Settings!$B$5))</f>
        <v/>
      </c>
      <c r="G305" s="7">
        <f>IF(F305="","",E305*F305)</f>
        <v/>
      </c>
      <c r="H305">
        <f>IF(A305="","",YEAR(A305))</f>
        <v/>
      </c>
    </row>
    <row r="306">
      <c r="A306" s="10" t="n"/>
      <c r="B306" s="9" t="n"/>
      <c r="C306" s="9" t="n"/>
      <c r="D306" s="9" t="n"/>
      <c r="E306" s="9" t="n"/>
      <c r="F306" s="13">
        <f>IF(OR(A306="",E306=""),"",IF(A306&gt;=Settings!$B$7,Settings!$B$6,Settings!$B$5))</f>
        <v/>
      </c>
      <c r="G306" s="7">
        <f>IF(F306="","",E306*F306)</f>
        <v/>
      </c>
      <c r="H306">
        <f>IF(A306="","",YEAR(A306))</f>
        <v/>
      </c>
    </row>
    <row r="307">
      <c r="A307" s="10" t="n"/>
      <c r="B307" s="9" t="n"/>
      <c r="C307" s="9" t="n"/>
      <c r="D307" s="9" t="n"/>
      <c r="E307" s="9" t="n"/>
      <c r="F307" s="13">
        <f>IF(OR(A307="",E307=""),"",IF(A307&gt;=Settings!$B$7,Settings!$B$6,Settings!$B$5))</f>
        <v/>
      </c>
      <c r="G307" s="7">
        <f>IF(F307="","",E307*F307)</f>
        <v/>
      </c>
      <c r="H307">
        <f>IF(A307="","",YEAR(A307))</f>
        <v/>
      </c>
    </row>
    <row r="308">
      <c r="A308" s="10" t="n"/>
      <c r="B308" s="9" t="n"/>
      <c r="C308" s="9" t="n"/>
      <c r="D308" s="9" t="n"/>
      <c r="E308" s="9" t="n"/>
      <c r="F308" s="13">
        <f>IF(OR(A308="",E308=""),"",IF(A308&gt;=Settings!$B$7,Settings!$B$6,Settings!$B$5))</f>
        <v/>
      </c>
      <c r="G308" s="7">
        <f>IF(F308="","",E308*F308)</f>
        <v/>
      </c>
      <c r="H308">
        <f>IF(A308="","",YEAR(A308))</f>
        <v/>
      </c>
    </row>
    <row r="309">
      <c r="A309" s="10" t="n"/>
      <c r="B309" s="9" t="n"/>
      <c r="C309" s="9" t="n"/>
      <c r="D309" s="9" t="n"/>
      <c r="E309" s="9" t="n"/>
      <c r="F309" s="13">
        <f>IF(OR(A309="",E309=""),"",IF(A309&gt;=Settings!$B$7,Settings!$B$6,Settings!$B$5))</f>
        <v/>
      </c>
      <c r="G309" s="7">
        <f>IF(F309="","",E309*F309)</f>
        <v/>
      </c>
      <c r="H309">
        <f>IF(A309="","",YEAR(A309))</f>
        <v/>
      </c>
    </row>
    <row r="310">
      <c r="A310" s="10" t="n"/>
      <c r="B310" s="9" t="n"/>
      <c r="C310" s="9" t="n"/>
      <c r="D310" s="9" t="n"/>
      <c r="E310" s="9" t="n"/>
      <c r="F310" s="13">
        <f>IF(OR(A310="",E310=""),"",IF(A310&gt;=Settings!$B$7,Settings!$B$6,Settings!$B$5))</f>
        <v/>
      </c>
      <c r="G310" s="7">
        <f>IF(F310="","",E310*F310)</f>
        <v/>
      </c>
      <c r="H310">
        <f>IF(A310="","",YEAR(A310))</f>
        <v/>
      </c>
    </row>
    <row r="311">
      <c r="A311" s="10" t="n"/>
      <c r="B311" s="9" t="n"/>
      <c r="C311" s="9" t="n"/>
      <c r="D311" s="9" t="n"/>
      <c r="E311" s="9" t="n"/>
      <c r="F311" s="13">
        <f>IF(OR(A311="",E311=""),"",IF(A311&gt;=Settings!$B$7,Settings!$B$6,Settings!$B$5))</f>
        <v/>
      </c>
      <c r="G311" s="7">
        <f>IF(F311="","",E311*F311)</f>
        <v/>
      </c>
      <c r="H311">
        <f>IF(A311="","",YEAR(A311))</f>
        <v/>
      </c>
    </row>
    <row r="312">
      <c r="A312" s="10" t="n"/>
      <c r="B312" s="9" t="n"/>
      <c r="C312" s="9" t="n"/>
      <c r="D312" s="9" t="n"/>
      <c r="E312" s="9" t="n"/>
      <c r="F312" s="13">
        <f>IF(OR(A312="",E312=""),"",IF(A312&gt;=Settings!$B$7,Settings!$B$6,Settings!$B$5))</f>
        <v/>
      </c>
      <c r="G312" s="7">
        <f>IF(F312="","",E312*F312)</f>
        <v/>
      </c>
      <c r="H312">
        <f>IF(A312="","",YEAR(A312))</f>
        <v/>
      </c>
    </row>
    <row r="313">
      <c r="A313" s="10" t="n"/>
      <c r="B313" s="9" t="n"/>
      <c r="C313" s="9" t="n"/>
      <c r="D313" s="9" t="n"/>
      <c r="E313" s="9" t="n"/>
      <c r="F313" s="13">
        <f>IF(OR(A313="",E313=""),"",IF(A313&gt;=Settings!$B$7,Settings!$B$6,Settings!$B$5))</f>
        <v/>
      </c>
      <c r="G313" s="7">
        <f>IF(F313="","",E313*F313)</f>
        <v/>
      </c>
      <c r="H313">
        <f>IF(A313="","",YEAR(A313))</f>
        <v/>
      </c>
    </row>
    <row r="314">
      <c r="A314" s="10" t="n"/>
      <c r="B314" s="9" t="n"/>
      <c r="C314" s="9" t="n"/>
      <c r="D314" s="9" t="n"/>
      <c r="E314" s="9" t="n"/>
      <c r="F314" s="13">
        <f>IF(OR(A314="",E314=""),"",IF(A314&gt;=Settings!$B$7,Settings!$B$6,Settings!$B$5))</f>
        <v/>
      </c>
      <c r="G314" s="7">
        <f>IF(F314="","",E314*F314)</f>
        <v/>
      </c>
      <c r="H314">
        <f>IF(A314="","",YEAR(A314))</f>
        <v/>
      </c>
    </row>
    <row r="315">
      <c r="A315" s="10" t="n"/>
      <c r="B315" s="9" t="n"/>
      <c r="C315" s="9" t="n"/>
      <c r="D315" s="9" t="n"/>
      <c r="E315" s="9" t="n"/>
      <c r="F315" s="13">
        <f>IF(OR(A315="",E315=""),"",IF(A315&gt;=Settings!$B$7,Settings!$B$6,Settings!$B$5))</f>
        <v/>
      </c>
      <c r="G315" s="7">
        <f>IF(F315="","",E315*F315)</f>
        <v/>
      </c>
      <c r="H315">
        <f>IF(A315="","",YEAR(A315))</f>
        <v/>
      </c>
    </row>
    <row r="316">
      <c r="A316" s="10" t="n"/>
      <c r="B316" s="9" t="n"/>
      <c r="C316" s="9" t="n"/>
      <c r="D316" s="9" t="n"/>
      <c r="E316" s="9" t="n"/>
      <c r="F316" s="13">
        <f>IF(OR(A316="",E316=""),"",IF(A316&gt;=Settings!$B$7,Settings!$B$6,Settings!$B$5))</f>
        <v/>
      </c>
      <c r="G316" s="7">
        <f>IF(F316="","",E316*F316)</f>
        <v/>
      </c>
      <c r="H316">
        <f>IF(A316="","",YEAR(A316))</f>
        <v/>
      </c>
    </row>
    <row r="317">
      <c r="A317" s="10" t="n"/>
      <c r="B317" s="9" t="n"/>
      <c r="C317" s="9" t="n"/>
      <c r="D317" s="9" t="n"/>
      <c r="E317" s="9" t="n"/>
      <c r="F317" s="13">
        <f>IF(OR(A317="",E317=""),"",IF(A317&gt;=Settings!$B$7,Settings!$B$6,Settings!$B$5))</f>
        <v/>
      </c>
      <c r="G317" s="7">
        <f>IF(F317="","",E317*F317)</f>
        <v/>
      </c>
      <c r="H317">
        <f>IF(A317="","",YEAR(A317))</f>
        <v/>
      </c>
    </row>
    <row r="318">
      <c r="A318" s="10" t="n"/>
      <c r="B318" s="9" t="n"/>
      <c r="C318" s="9" t="n"/>
      <c r="D318" s="9" t="n"/>
      <c r="E318" s="9" t="n"/>
      <c r="F318" s="13">
        <f>IF(OR(A318="",E318=""),"",IF(A318&gt;=Settings!$B$7,Settings!$B$6,Settings!$B$5))</f>
        <v/>
      </c>
      <c r="G318" s="7">
        <f>IF(F318="","",E318*F318)</f>
        <v/>
      </c>
      <c r="H318">
        <f>IF(A318="","",YEAR(A318))</f>
        <v/>
      </c>
    </row>
    <row r="319">
      <c r="A319" s="10" t="n"/>
      <c r="B319" s="9" t="n"/>
      <c r="C319" s="9" t="n"/>
      <c r="D319" s="9" t="n"/>
      <c r="E319" s="9" t="n"/>
      <c r="F319" s="13">
        <f>IF(OR(A319="",E319=""),"",IF(A319&gt;=Settings!$B$7,Settings!$B$6,Settings!$B$5))</f>
        <v/>
      </c>
      <c r="G319" s="7">
        <f>IF(F319="","",E319*F319)</f>
        <v/>
      </c>
      <c r="H319">
        <f>IF(A319="","",YEAR(A319))</f>
        <v/>
      </c>
    </row>
    <row r="320">
      <c r="A320" s="10" t="n"/>
      <c r="B320" s="9" t="n"/>
      <c r="C320" s="9" t="n"/>
      <c r="D320" s="9" t="n"/>
      <c r="E320" s="9" t="n"/>
      <c r="F320" s="13">
        <f>IF(OR(A320="",E320=""),"",IF(A320&gt;=Settings!$B$7,Settings!$B$6,Settings!$B$5))</f>
        <v/>
      </c>
      <c r="G320" s="7">
        <f>IF(F320="","",E320*F320)</f>
        <v/>
      </c>
      <c r="H320">
        <f>IF(A320="","",YEAR(A320))</f>
        <v/>
      </c>
    </row>
    <row r="321">
      <c r="A321" s="10" t="n"/>
      <c r="B321" s="9" t="n"/>
      <c r="C321" s="9" t="n"/>
      <c r="D321" s="9" t="n"/>
      <c r="E321" s="9" t="n"/>
      <c r="F321" s="13">
        <f>IF(OR(A321="",E321=""),"",IF(A321&gt;=Settings!$B$7,Settings!$B$6,Settings!$B$5))</f>
        <v/>
      </c>
      <c r="G321" s="7">
        <f>IF(F321="","",E321*F321)</f>
        <v/>
      </c>
      <c r="H321">
        <f>IF(A321="","",YEAR(A321))</f>
        <v/>
      </c>
    </row>
    <row r="322">
      <c r="A322" s="10" t="n"/>
      <c r="B322" s="9" t="n"/>
      <c r="C322" s="9" t="n"/>
      <c r="D322" s="9" t="n"/>
      <c r="E322" s="9" t="n"/>
      <c r="F322" s="13">
        <f>IF(OR(A322="",E322=""),"",IF(A322&gt;=Settings!$B$7,Settings!$B$6,Settings!$B$5))</f>
        <v/>
      </c>
      <c r="G322" s="7">
        <f>IF(F322="","",E322*F322)</f>
        <v/>
      </c>
      <c r="H322">
        <f>IF(A322="","",YEAR(A322))</f>
        <v/>
      </c>
    </row>
    <row r="323">
      <c r="A323" s="10" t="n"/>
      <c r="B323" s="9" t="n"/>
      <c r="C323" s="9" t="n"/>
      <c r="D323" s="9" t="n"/>
      <c r="E323" s="9" t="n"/>
      <c r="F323" s="13">
        <f>IF(OR(A323="",E323=""),"",IF(A323&gt;=Settings!$B$7,Settings!$B$6,Settings!$B$5))</f>
        <v/>
      </c>
      <c r="G323" s="7">
        <f>IF(F323="","",E323*F323)</f>
        <v/>
      </c>
      <c r="H323">
        <f>IF(A323="","",YEAR(A323))</f>
        <v/>
      </c>
    </row>
    <row r="324">
      <c r="A324" s="10" t="n"/>
      <c r="B324" s="9" t="n"/>
      <c r="C324" s="9" t="n"/>
      <c r="D324" s="9" t="n"/>
      <c r="E324" s="9" t="n"/>
      <c r="F324" s="13">
        <f>IF(OR(A324="",E324=""),"",IF(A324&gt;=Settings!$B$7,Settings!$B$6,Settings!$B$5))</f>
        <v/>
      </c>
      <c r="G324" s="7">
        <f>IF(F324="","",E324*F324)</f>
        <v/>
      </c>
      <c r="H324">
        <f>IF(A324="","",YEAR(A324))</f>
        <v/>
      </c>
    </row>
    <row r="325">
      <c r="A325" s="10" t="n"/>
      <c r="B325" s="9" t="n"/>
      <c r="C325" s="9" t="n"/>
      <c r="D325" s="9" t="n"/>
      <c r="E325" s="9" t="n"/>
      <c r="F325" s="13">
        <f>IF(OR(A325="",E325=""),"",IF(A325&gt;=Settings!$B$7,Settings!$B$6,Settings!$B$5))</f>
        <v/>
      </c>
      <c r="G325" s="7">
        <f>IF(F325="","",E325*F325)</f>
        <v/>
      </c>
      <c r="H325">
        <f>IF(A325="","",YEAR(A325))</f>
        <v/>
      </c>
    </row>
    <row r="326">
      <c r="A326" s="10" t="n"/>
      <c r="B326" s="9" t="n"/>
      <c r="C326" s="9" t="n"/>
      <c r="D326" s="9" t="n"/>
      <c r="E326" s="9" t="n"/>
      <c r="F326" s="13">
        <f>IF(OR(A326="",E326=""),"",IF(A326&gt;=Settings!$B$7,Settings!$B$6,Settings!$B$5))</f>
        <v/>
      </c>
      <c r="G326" s="7">
        <f>IF(F326="","",E326*F326)</f>
        <v/>
      </c>
      <c r="H326">
        <f>IF(A326="","",YEAR(A326))</f>
        <v/>
      </c>
    </row>
    <row r="327">
      <c r="A327" s="10" t="n"/>
      <c r="B327" s="9" t="n"/>
      <c r="C327" s="9" t="n"/>
      <c r="D327" s="9" t="n"/>
      <c r="E327" s="9" t="n"/>
      <c r="F327" s="13">
        <f>IF(OR(A327="",E327=""),"",IF(A327&gt;=Settings!$B$7,Settings!$B$6,Settings!$B$5))</f>
        <v/>
      </c>
      <c r="G327" s="7">
        <f>IF(F327="","",E327*F327)</f>
        <v/>
      </c>
      <c r="H327">
        <f>IF(A327="","",YEAR(A327))</f>
        <v/>
      </c>
    </row>
    <row r="328">
      <c r="A328" s="10" t="n"/>
      <c r="B328" s="9" t="n"/>
      <c r="C328" s="9" t="n"/>
      <c r="D328" s="9" t="n"/>
      <c r="E328" s="9" t="n"/>
      <c r="F328" s="13">
        <f>IF(OR(A328="",E328=""),"",IF(A328&gt;=Settings!$B$7,Settings!$B$6,Settings!$B$5))</f>
        <v/>
      </c>
      <c r="G328" s="7">
        <f>IF(F328="","",E328*F328)</f>
        <v/>
      </c>
      <c r="H328">
        <f>IF(A328="","",YEAR(A328))</f>
        <v/>
      </c>
    </row>
    <row r="329">
      <c r="A329" s="10" t="n"/>
      <c r="B329" s="9" t="n"/>
      <c r="C329" s="9" t="n"/>
      <c r="D329" s="9" t="n"/>
      <c r="E329" s="9" t="n"/>
      <c r="F329" s="13">
        <f>IF(OR(A329="",E329=""),"",IF(A329&gt;=Settings!$B$7,Settings!$B$6,Settings!$B$5))</f>
        <v/>
      </c>
      <c r="G329" s="7">
        <f>IF(F329="","",E329*F329)</f>
        <v/>
      </c>
      <c r="H329">
        <f>IF(A329="","",YEAR(A329))</f>
        <v/>
      </c>
    </row>
    <row r="330">
      <c r="A330" s="10" t="n"/>
      <c r="B330" s="9" t="n"/>
      <c r="C330" s="9" t="n"/>
      <c r="D330" s="9" t="n"/>
      <c r="E330" s="9" t="n"/>
      <c r="F330" s="13">
        <f>IF(OR(A330="",E330=""),"",IF(A330&gt;=Settings!$B$7,Settings!$B$6,Settings!$B$5))</f>
        <v/>
      </c>
      <c r="G330" s="7">
        <f>IF(F330="","",E330*F330)</f>
        <v/>
      </c>
      <c r="H330">
        <f>IF(A330="","",YEAR(A330))</f>
        <v/>
      </c>
    </row>
    <row r="331">
      <c r="A331" s="10" t="n"/>
      <c r="B331" s="9" t="n"/>
      <c r="C331" s="9" t="n"/>
      <c r="D331" s="9" t="n"/>
      <c r="E331" s="9" t="n"/>
      <c r="F331" s="13">
        <f>IF(OR(A331="",E331=""),"",IF(A331&gt;=Settings!$B$7,Settings!$B$6,Settings!$B$5))</f>
        <v/>
      </c>
      <c r="G331" s="7">
        <f>IF(F331="","",E331*F331)</f>
        <v/>
      </c>
      <c r="H331">
        <f>IF(A331="","",YEAR(A331))</f>
        <v/>
      </c>
    </row>
    <row r="332">
      <c r="A332" s="10" t="n"/>
      <c r="B332" s="9" t="n"/>
      <c r="C332" s="9" t="n"/>
      <c r="D332" s="9" t="n"/>
      <c r="E332" s="9" t="n"/>
      <c r="F332" s="13">
        <f>IF(OR(A332="",E332=""),"",IF(A332&gt;=Settings!$B$7,Settings!$B$6,Settings!$B$5))</f>
        <v/>
      </c>
      <c r="G332" s="7">
        <f>IF(F332="","",E332*F332)</f>
        <v/>
      </c>
      <c r="H332">
        <f>IF(A332="","",YEAR(A332))</f>
        <v/>
      </c>
    </row>
    <row r="333">
      <c r="A333" s="10" t="n"/>
      <c r="B333" s="9" t="n"/>
      <c r="C333" s="9" t="n"/>
      <c r="D333" s="9" t="n"/>
      <c r="E333" s="9" t="n"/>
      <c r="F333" s="13">
        <f>IF(OR(A333="",E333=""),"",IF(A333&gt;=Settings!$B$7,Settings!$B$6,Settings!$B$5))</f>
        <v/>
      </c>
      <c r="G333" s="7">
        <f>IF(F333="","",E333*F333)</f>
        <v/>
      </c>
      <c r="H333">
        <f>IF(A333="","",YEAR(A333))</f>
        <v/>
      </c>
    </row>
    <row r="334">
      <c r="A334" s="10" t="n"/>
      <c r="B334" s="9" t="n"/>
      <c r="C334" s="9" t="n"/>
      <c r="D334" s="9" t="n"/>
      <c r="E334" s="9" t="n"/>
      <c r="F334" s="13">
        <f>IF(OR(A334="",E334=""),"",IF(A334&gt;=Settings!$B$7,Settings!$B$6,Settings!$B$5))</f>
        <v/>
      </c>
      <c r="G334" s="7">
        <f>IF(F334="","",E334*F334)</f>
        <v/>
      </c>
      <c r="H334">
        <f>IF(A334="","",YEAR(A334))</f>
        <v/>
      </c>
    </row>
    <row r="335">
      <c r="A335" s="10" t="n"/>
      <c r="B335" s="9" t="n"/>
      <c r="C335" s="9" t="n"/>
      <c r="D335" s="9" t="n"/>
      <c r="E335" s="9" t="n"/>
      <c r="F335" s="13">
        <f>IF(OR(A335="",E335=""),"",IF(A335&gt;=Settings!$B$7,Settings!$B$6,Settings!$B$5))</f>
        <v/>
      </c>
      <c r="G335" s="7">
        <f>IF(F335="","",E335*F335)</f>
        <v/>
      </c>
      <c r="H335">
        <f>IF(A335="","",YEAR(A335))</f>
        <v/>
      </c>
    </row>
    <row r="336">
      <c r="A336" s="10" t="n"/>
      <c r="B336" s="9" t="n"/>
      <c r="C336" s="9" t="n"/>
      <c r="D336" s="9" t="n"/>
      <c r="E336" s="9" t="n"/>
      <c r="F336" s="13">
        <f>IF(OR(A336="",E336=""),"",IF(A336&gt;=Settings!$B$7,Settings!$B$6,Settings!$B$5))</f>
        <v/>
      </c>
      <c r="G336" s="7">
        <f>IF(F336="","",E336*F336)</f>
        <v/>
      </c>
      <c r="H336">
        <f>IF(A336="","",YEAR(A336))</f>
        <v/>
      </c>
    </row>
    <row r="337">
      <c r="A337" s="10" t="n"/>
      <c r="B337" s="9" t="n"/>
      <c r="C337" s="9" t="n"/>
      <c r="D337" s="9" t="n"/>
      <c r="E337" s="9" t="n"/>
      <c r="F337" s="13">
        <f>IF(OR(A337="",E337=""),"",IF(A337&gt;=Settings!$B$7,Settings!$B$6,Settings!$B$5))</f>
        <v/>
      </c>
      <c r="G337" s="7">
        <f>IF(F337="","",E337*F337)</f>
        <v/>
      </c>
      <c r="H337">
        <f>IF(A337="","",YEAR(A337))</f>
        <v/>
      </c>
    </row>
    <row r="338">
      <c r="A338" s="10" t="n"/>
      <c r="B338" s="9" t="n"/>
      <c r="C338" s="9" t="n"/>
      <c r="D338" s="9" t="n"/>
      <c r="E338" s="9" t="n"/>
      <c r="F338" s="13">
        <f>IF(OR(A338="",E338=""),"",IF(A338&gt;=Settings!$B$7,Settings!$B$6,Settings!$B$5))</f>
        <v/>
      </c>
      <c r="G338" s="7">
        <f>IF(F338="","",E338*F338)</f>
        <v/>
      </c>
      <c r="H338">
        <f>IF(A338="","",YEAR(A338))</f>
        <v/>
      </c>
    </row>
    <row r="339">
      <c r="A339" s="10" t="n"/>
      <c r="B339" s="9" t="n"/>
      <c r="C339" s="9" t="n"/>
      <c r="D339" s="9" t="n"/>
      <c r="E339" s="9" t="n"/>
      <c r="F339" s="13">
        <f>IF(OR(A339="",E339=""),"",IF(A339&gt;=Settings!$B$7,Settings!$B$6,Settings!$B$5))</f>
        <v/>
      </c>
      <c r="G339" s="7">
        <f>IF(F339="","",E339*F339)</f>
        <v/>
      </c>
      <c r="H339">
        <f>IF(A339="","",YEAR(A339))</f>
        <v/>
      </c>
    </row>
    <row r="340">
      <c r="A340" s="10" t="n"/>
      <c r="B340" s="9" t="n"/>
      <c r="C340" s="9" t="n"/>
      <c r="D340" s="9" t="n"/>
      <c r="E340" s="9" t="n"/>
      <c r="F340" s="13">
        <f>IF(OR(A340="",E340=""),"",IF(A340&gt;=Settings!$B$7,Settings!$B$6,Settings!$B$5))</f>
        <v/>
      </c>
      <c r="G340" s="7">
        <f>IF(F340="","",E340*F340)</f>
        <v/>
      </c>
      <c r="H340">
        <f>IF(A340="","",YEAR(A340))</f>
        <v/>
      </c>
    </row>
    <row r="341">
      <c r="A341" s="10" t="n"/>
      <c r="B341" s="9" t="n"/>
      <c r="C341" s="9" t="n"/>
      <c r="D341" s="9" t="n"/>
      <c r="E341" s="9" t="n"/>
      <c r="F341" s="13">
        <f>IF(OR(A341="",E341=""),"",IF(A341&gt;=Settings!$B$7,Settings!$B$6,Settings!$B$5))</f>
        <v/>
      </c>
      <c r="G341" s="7">
        <f>IF(F341="","",E341*F341)</f>
        <v/>
      </c>
      <c r="H341">
        <f>IF(A341="","",YEAR(A341))</f>
        <v/>
      </c>
    </row>
    <row r="342">
      <c r="A342" s="10" t="n"/>
      <c r="B342" s="9" t="n"/>
      <c r="C342" s="9" t="n"/>
      <c r="D342" s="9" t="n"/>
      <c r="E342" s="9" t="n"/>
      <c r="F342" s="13">
        <f>IF(OR(A342="",E342=""),"",IF(A342&gt;=Settings!$B$7,Settings!$B$6,Settings!$B$5))</f>
        <v/>
      </c>
      <c r="G342" s="7">
        <f>IF(F342="","",E342*F342)</f>
        <v/>
      </c>
      <c r="H342">
        <f>IF(A342="","",YEAR(A342))</f>
        <v/>
      </c>
    </row>
    <row r="343">
      <c r="A343" s="10" t="n"/>
      <c r="B343" s="9" t="n"/>
      <c r="C343" s="9" t="n"/>
      <c r="D343" s="9" t="n"/>
      <c r="E343" s="9" t="n"/>
      <c r="F343" s="13">
        <f>IF(OR(A343="",E343=""),"",IF(A343&gt;=Settings!$B$7,Settings!$B$6,Settings!$B$5))</f>
        <v/>
      </c>
      <c r="G343" s="7">
        <f>IF(F343="","",E343*F343)</f>
        <v/>
      </c>
      <c r="H343">
        <f>IF(A343="","",YEAR(A343))</f>
        <v/>
      </c>
    </row>
    <row r="344">
      <c r="A344" s="10" t="n"/>
      <c r="B344" s="9" t="n"/>
      <c r="C344" s="9" t="n"/>
      <c r="D344" s="9" t="n"/>
      <c r="E344" s="9" t="n"/>
      <c r="F344" s="13">
        <f>IF(OR(A344="",E344=""),"",IF(A344&gt;=Settings!$B$7,Settings!$B$6,Settings!$B$5))</f>
        <v/>
      </c>
      <c r="G344" s="7">
        <f>IF(F344="","",E344*F344)</f>
        <v/>
      </c>
      <c r="H344">
        <f>IF(A344="","",YEAR(A344))</f>
        <v/>
      </c>
    </row>
    <row r="345">
      <c r="A345" s="10" t="n"/>
      <c r="B345" s="9" t="n"/>
      <c r="C345" s="9" t="n"/>
      <c r="D345" s="9" t="n"/>
      <c r="E345" s="9" t="n"/>
      <c r="F345" s="13">
        <f>IF(OR(A345="",E345=""),"",IF(A345&gt;=Settings!$B$7,Settings!$B$6,Settings!$B$5))</f>
        <v/>
      </c>
      <c r="G345" s="7">
        <f>IF(F345="","",E345*F345)</f>
        <v/>
      </c>
      <c r="H345">
        <f>IF(A345="","",YEAR(A345))</f>
        <v/>
      </c>
    </row>
    <row r="346">
      <c r="A346" s="10" t="n"/>
      <c r="B346" s="9" t="n"/>
      <c r="C346" s="9" t="n"/>
      <c r="D346" s="9" t="n"/>
      <c r="E346" s="9" t="n"/>
      <c r="F346" s="13">
        <f>IF(OR(A346="",E346=""),"",IF(A346&gt;=Settings!$B$7,Settings!$B$6,Settings!$B$5))</f>
        <v/>
      </c>
      <c r="G346" s="7">
        <f>IF(F346="","",E346*F346)</f>
        <v/>
      </c>
      <c r="H346">
        <f>IF(A346="","",YEAR(A346))</f>
        <v/>
      </c>
    </row>
    <row r="347">
      <c r="A347" s="10" t="n"/>
      <c r="B347" s="9" t="n"/>
      <c r="C347" s="9" t="n"/>
      <c r="D347" s="9" t="n"/>
      <c r="E347" s="9" t="n"/>
      <c r="F347" s="13">
        <f>IF(OR(A347="",E347=""),"",IF(A347&gt;=Settings!$B$7,Settings!$B$6,Settings!$B$5))</f>
        <v/>
      </c>
      <c r="G347" s="7">
        <f>IF(F347="","",E347*F347)</f>
        <v/>
      </c>
      <c r="H347">
        <f>IF(A347="","",YEAR(A347))</f>
        <v/>
      </c>
    </row>
    <row r="348">
      <c r="A348" s="10" t="n"/>
      <c r="B348" s="9" t="n"/>
      <c r="C348" s="9" t="n"/>
      <c r="D348" s="9" t="n"/>
      <c r="E348" s="9" t="n"/>
      <c r="F348" s="13">
        <f>IF(OR(A348="",E348=""),"",IF(A348&gt;=Settings!$B$7,Settings!$B$6,Settings!$B$5))</f>
        <v/>
      </c>
      <c r="G348" s="7">
        <f>IF(F348="","",E348*F348)</f>
        <v/>
      </c>
      <c r="H348">
        <f>IF(A348="","",YEAR(A348))</f>
        <v/>
      </c>
    </row>
    <row r="349">
      <c r="A349" s="10" t="n"/>
      <c r="B349" s="9" t="n"/>
      <c r="C349" s="9" t="n"/>
      <c r="D349" s="9" t="n"/>
      <c r="E349" s="9" t="n"/>
      <c r="F349" s="13">
        <f>IF(OR(A349="",E349=""),"",IF(A349&gt;=Settings!$B$7,Settings!$B$6,Settings!$B$5))</f>
        <v/>
      </c>
      <c r="G349" s="7">
        <f>IF(F349="","",E349*F349)</f>
        <v/>
      </c>
      <c r="H349">
        <f>IF(A349="","",YEAR(A349))</f>
        <v/>
      </c>
    </row>
    <row r="350">
      <c r="A350" s="10" t="n"/>
      <c r="B350" s="9" t="n"/>
      <c r="C350" s="9" t="n"/>
      <c r="D350" s="9" t="n"/>
      <c r="E350" s="9" t="n"/>
      <c r="F350" s="13">
        <f>IF(OR(A350="",E350=""),"",IF(A350&gt;=Settings!$B$7,Settings!$B$6,Settings!$B$5))</f>
        <v/>
      </c>
      <c r="G350" s="7">
        <f>IF(F350="","",E350*F350)</f>
        <v/>
      </c>
      <c r="H350">
        <f>IF(A350="","",YEAR(A350))</f>
        <v/>
      </c>
    </row>
    <row r="351">
      <c r="A351" s="10" t="n"/>
      <c r="B351" s="9" t="n"/>
      <c r="C351" s="9" t="n"/>
      <c r="D351" s="9" t="n"/>
      <c r="E351" s="9" t="n"/>
      <c r="F351" s="13">
        <f>IF(OR(A351="",E351=""),"",IF(A351&gt;=Settings!$B$7,Settings!$B$6,Settings!$B$5))</f>
        <v/>
      </c>
      <c r="G351" s="7">
        <f>IF(F351="","",E351*F351)</f>
        <v/>
      </c>
      <c r="H351">
        <f>IF(A351="","",YEAR(A351))</f>
        <v/>
      </c>
    </row>
    <row r="352">
      <c r="A352" s="10" t="n"/>
      <c r="B352" s="9" t="n"/>
      <c r="C352" s="9" t="n"/>
      <c r="D352" s="9" t="n"/>
      <c r="E352" s="9" t="n"/>
      <c r="F352" s="13">
        <f>IF(OR(A352="",E352=""),"",IF(A352&gt;=Settings!$B$7,Settings!$B$6,Settings!$B$5))</f>
        <v/>
      </c>
      <c r="G352" s="7">
        <f>IF(F352="","",E352*F352)</f>
        <v/>
      </c>
      <c r="H352">
        <f>IF(A352="","",YEAR(A352))</f>
        <v/>
      </c>
    </row>
    <row r="353">
      <c r="A353" s="10" t="n"/>
      <c r="B353" s="9" t="n"/>
      <c r="C353" s="9" t="n"/>
      <c r="D353" s="9" t="n"/>
      <c r="E353" s="9" t="n"/>
      <c r="F353" s="13">
        <f>IF(OR(A353="",E353=""),"",IF(A353&gt;=Settings!$B$7,Settings!$B$6,Settings!$B$5))</f>
        <v/>
      </c>
      <c r="G353" s="7">
        <f>IF(F353="","",E353*F353)</f>
        <v/>
      </c>
      <c r="H353">
        <f>IF(A353="","",YEAR(A353))</f>
        <v/>
      </c>
    </row>
    <row r="354">
      <c r="A354" s="10" t="n"/>
      <c r="B354" s="9" t="n"/>
      <c r="C354" s="9" t="n"/>
      <c r="D354" s="9" t="n"/>
      <c r="E354" s="9" t="n"/>
      <c r="F354" s="13">
        <f>IF(OR(A354="",E354=""),"",IF(A354&gt;=Settings!$B$7,Settings!$B$6,Settings!$B$5))</f>
        <v/>
      </c>
      <c r="G354" s="7">
        <f>IF(F354="","",E354*F354)</f>
        <v/>
      </c>
      <c r="H354">
        <f>IF(A354="","",YEAR(A354))</f>
        <v/>
      </c>
    </row>
    <row r="355">
      <c r="A355" s="10" t="n"/>
      <c r="B355" s="9" t="n"/>
      <c r="C355" s="9" t="n"/>
      <c r="D355" s="9" t="n"/>
      <c r="E355" s="9" t="n"/>
      <c r="F355" s="13">
        <f>IF(OR(A355="",E355=""),"",IF(A355&gt;=Settings!$B$7,Settings!$B$6,Settings!$B$5))</f>
        <v/>
      </c>
      <c r="G355" s="7">
        <f>IF(F355="","",E355*F355)</f>
        <v/>
      </c>
      <c r="H355">
        <f>IF(A355="","",YEAR(A355))</f>
        <v/>
      </c>
    </row>
    <row r="356">
      <c r="A356" s="10" t="n"/>
      <c r="B356" s="9" t="n"/>
      <c r="C356" s="9" t="n"/>
      <c r="D356" s="9" t="n"/>
      <c r="E356" s="9" t="n"/>
      <c r="F356" s="13">
        <f>IF(OR(A356="",E356=""),"",IF(A356&gt;=Settings!$B$7,Settings!$B$6,Settings!$B$5))</f>
        <v/>
      </c>
      <c r="G356" s="7">
        <f>IF(F356="","",E356*F356)</f>
        <v/>
      </c>
      <c r="H356">
        <f>IF(A356="","",YEAR(A356))</f>
        <v/>
      </c>
    </row>
    <row r="357">
      <c r="A357" s="10" t="n"/>
      <c r="B357" s="9" t="n"/>
      <c r="C357" s="9" t="n"/>
      <c r="D357" s="9" t="n"/>
      <c r="E357" s="9" t="n"/>
      <c r="F357" s="13">
        <f>IF(OR(A357="",E357=""),"",IF(A357&gt;=Settings!$B$7,Settings!$B$6,Settings!$B$5))</f>
        <v/>
      </c>
      <c r="G357" s="7">
        <f>IF(F357="","",E357*F357)</f>
        <v/>
      </c>
      <c r="H357">
        <f>IF(A357="","",YEAR(A357))</f>
        <v/>
      </c>
    </row>
    <row r="358">
      <c r="A358" s="10" t="n"/>
      <c r="B358" s="9" t="n"/>
      <c r="C358" s="9" t="n"/>
      <c r="D358" s="9" t="n"/>
      <c r="E358" s="9" t="n"/>
      <c r="F358" s="13">
        <f>IF(OR(A358="",E358=""),"",IF(A358&gt;=Settings!$B$7,Settings!$B$6,Settings!$B$5))</f>
        <v/>
      </c>
      <c r="G358" s="7">
        <f>IF(F358="","",E358*F358)</f>
        <v/>
      </c>
      <c r="H358">
        <f>IF(A358="","",YEAR(A358))</f>
        <v/>
      </c>
    </row>
    <row r="359">
      <c r="A359" s="10" t="n"/>
      <c r="B359" s="9" t="n"/>
      <c r="C359" s="9" t="n"/>
      <c r="D359" s="9" t="n"/>
      <c r="E359" s="9" t="n"/>
      <c r="F359" s="13">
        <f>IF(OR(A359="",E359=""),"",IF(A359&gt;=Settings!$B$7,Settings!$B$6,Settings!$B$5))</f>
        <v/>
      </c>
      <c r="G359" s="7">
        <f>IF(F359="","",E359*F359)</f>
        <v/>
      </c>
      <c r="H359">
        <f>IF(A359="","",YEAR(A359))</f>
        <v/>
      </c>
    </row>
    <row r="360">
      <c r="A360" s="10" t="n"/>
      <c r="B360" s="9" t="n"/>
      <c r="C360" s="9" t="n"/>
      <c r="D360" s="9" t="n"/>
      <c r="E360" s="9" t="n"/>
      <c r="F360" s="13">
        <f>IF(OR(A360="",E360=""),"",IF(A360&gt;=Settings!$B$7,Settings!$B$6,Settings!$B$5))</f>
        <v/>
      </c>
      <c r="G360" s="7">
        <f>IF(F360="","",E360*F360)</f>
        <v/>
      </c>
      <c r="H360">
        <f>IF(A360="","",YEAR(A360))</f>
        <v/>
      </c>
    </row>
    <row r="361">
      <c r="A361" s="10" t="n"/>
      <c r="B361" s="9" t="n"/>
      <c r="C361" s="9" t="n"/>
      <c r="D361" s="9" t="n"/>
      <c r="E361" s="9" t="n"/>
      <c r="F361" s="13">
        <f>IF(OR(A361="",E361=""),"",IF(A361&gt;=Settings!$B$7,Settings!$B$6,Settings!$B$5))</f>
        <v/>
      </c>
      <c r="G361" s="7">
        <f>IF(F361="","",E361*F361)</f>
        <v/>
      </c>
      <c r="H361">
        <f>IF(A361="","",YEAR(A361))</f>
        <v/>
      </c>
    </row>
    <row r="362">
      <c r="A362" s="10" t="n"/>
      <c r="B362" s="9" t="n"/>
      <c r="C362" s="9" t="n"/>
      <c r="D362" s="9" t="n"/>
      <c r="E362" s="9" t="n"/>
      <c r="F362" s="13">
        <f>IF(OR(A362="",E362=""),"",IF(A362&gt;=Settings!$B$7,Settings!$B$6,Settings!$B$5))</f>
        <v/>
      </c>
      <c r="G362" s="7">
        <f>IF(F362="","",E362*F362)</f>
        <v/>
      </c>
      <c r="H362">
        <f>IF(A362="","",YEAR(A362))</f>
        <v/>
      </c>
    </row>
    <row r="363">
      <c r="A363" s="10" t="n"/>
      <c r="B363" s="9" t="n"/>
      <c r="C363" s="9" t="n"/>
      <c r="D363" s="9" t="n"/>
      <c r="E363" s="9" t="n"/>
      <c r="F363" s="13">
        <f>IF(OR(A363="",E363=""),"",IF(A363&gt;=Settings!$B$7,Settings!$B$6,Settings!$B$5))</f>
        <v/>
      </c>
      <c r="G363" s="7">
        <f>IF(F363="","",E363*F363)</f>
        <v/>
      </c>
      <c r="H363">
        <f>IF(A363="","",YEAR(A363))</f>
        <v/>
      </c>
    </row>
    <row r="364">
      <c r="A364" s="10" t="n"/>
      <c r="B364" s="9" t="n"/>
      <c r="C364" s="9" t="n"/>
      <c r="D364" s="9" t="n"/>
      <c r="E364" s="9" t="n"/>
      <c r="F364" s="13">
        <f>IF(OR(A364="",E364=""),"",IF(A364&gt;=Settings!$B$7,Settings!$B$6,Settings!$B$5))</f>
        <v/>
      </c>
      <c r="G364" s="7">
        <f>IF(F364="","",E364*F364)</f>
        <v/>
      </c>
      <c r="H364">
        <f>IF(A364="","",YEAR(A364))</f>
        <v/>
      </c>
    </row>
    <row r="365">
      <c r="A365" s="10" t="n"/>
      <c r="B365" s="9" t="n"/>
      <c r="C365" s="9" t="n"/>
      <c r="D365" s="9" t="n"/>
      <c r="E365" s="9" t="n"/>
      <c r="F365" s="13">
        <f>IF(OR(A365="",E365=""),"",IF(A365&gt;=Settings!$B$7,Settings!$B$6,Settings!$B$5))</f>
        <v/>
      </c>
      <c r="G365" s="7">
        <f>IF(F365="","",E365*F365)</f>
        <v/>
      </c>
      <c r="H365">
        <f>IF(A365="","",YEAR(A365))</f>
        <v/>
      </c>
    </row>
    <row r="366">
      <c r="A366" s="10" t="n"/>
      <c r="B366" s="9" t="n"/>
      <c r="C366" s="9" t="n"/>
      <c r="D366" s="9" t="n"/>
      <c r="E366" s="9" t="n"/>
      <c r="F366" s="13">
        <f>IF(OR(A366="",E366=""),"",IF(A366&gt;=Settings!$B$7,Settings!$B$6,Settings!$B$5))</f>
        <v/>
      </c>
      <c r="G366" s="7">
        <f>IF(F366="","",E366*F366)</f>
        <v/>
      </c>
      <c r="H366">
        <f>IF(A366="","",YEAR(A366))</f>
        <v/>
      </c>
    </row>
    <row r="367">
      <c r="A367" s="10" t="n"/>
      <c r="B367" s="9" t="n"/>
      <c r="C367" s="9" t="n"/>
      <c r="D367" s="9" t="n"/>
      <c r="E367" s="9" t="n"/>
      <c r="F367" s="13">
        <f>IF(OR(A367="",E367=""),"",IF(A367&gt;=Settings!$B$7,Settings!$B$6,Settings!$B$5))</f>
        <v/>
      </c>
      <c r="G367" s="7">
        <f>IF(F367="","",E367*F367)</f>
        <v/>
      </c>
      <c r="H367">
        <f>IF(A367="","",YEAR(A367))</f>
        <v/>
      </c>
    </row>
    <row r="368">
      <c r="A368" s="10" t="n"/>
      <c r="B368" s="9" t="n"/>
      <c r="C368" s="9" t="n"/>
      <c r="D368" s="9" t="n"/>
      <c r="E368" s="9" t="n"/>
      <c r="F368" s="13">
        <f>IF(OR(A368="",E368=""),"",IF(A368&gt;=Settings!$B$7,Settings!$B$6,Settings!$B$5))</f>
        <v/>
      </c>
      <c r="G368" s="7">
        <f>IF(F368="","",E368*F368)</f>
        <v/>
      </c>
      <c r="H368">
        <f>IF(A368="","",YEAR(A368))</f>
        <v/>
      </c>
    </row>
    <row r="369">
      <c r="A369" s="10" t="n"/>
      <c r="B369" s="9" t="n"/>
      <c r="C369" s="9" t="n"/>
      <c r="D369" s="9" t="n"/>
      <c r="E369" s="9" t="n"/>
      <c r="F369" s="13">
        <f>IF(OR(A369="",E369=""),"",IF(A369&gt;=Settings!$B$7,Settings!$B$6,Settings!$B$5))</f>
        <v/>
      </c>
      <c r="G369" s="7">
        <f>IF(F369="","",E369*F369)</f>
        <v/>
      </c>
      <c r="H369">
        <f>IF(A369="","",YEAR(A369))</f>
        <v/>
      </c>
    </row>
    <row r="370">
      <c r="A370" s="10" t="n"/>
      <c r="B370" s="9" t="n"/>
      <c r="C370" s="9" t="n"/>
      <c r="D370" s="9" t="n"/>
      <c r="E370" s="9" t="n"/>
      <c r="F370" s="13">
        <f>IF(OR(A370="",E370=""),"",IF(A370&gt;=Settings!$B$7,Settings!$B$6,Settings!$B$5))</f>
        <v/>
      </c>
      <c r="G370" s="7">
        <f>IF(F370="","",E370*F370)</f>
        <v/>
      </c>
      <c r="H370">
        <f>IF(A370="","",YEAR(A370))</f>
        <v/>
      </c>
    </row>
    <row r="371">
      <c r="A371" s="10" t="n"/>
      <c r="B371" s="9" t="n"/>
      <c r="C371" s="9" t="n"/>
      <c r="D371" s="9" t="n"/>
      <c r="E371" s="9" t="n"/>
      <c r="F371" s="13">
        <f>IF(OR(A371="",E371=""),"",IF(A371&gt;=Settings!$B$7,Settings!$B$6,Settings!$B$5))</f>
        <v/>
      </c>
      <c r="G371" s="7">
        <f>IF(F371="","",E371*F371)</f>
        <v/>
      </c>
      <c r="H371">
        <f>IF(A371="","",YEAR(A371))</f>
        <v/>
      </c>
    </row>
    <row r="372">
      <c r="A372" s="10" t="n"/>
      <c r="B372" s="9" t="n"/>
      <c r="C372" s="9" t="n"/>
      <c r="D372" s="9" t="n"/>
      <c r="E372" s="9" t="n"/>
      <c r="F372" s="13">
        <f>IF(OR(A372="",E372=""),"",IF(A372&gt;=Settings!$B$7,Settings!$B$6,Settings!$B$5))</f>
        <v/>
      </c>
      <c r="G372" s="7">
        <f>IF(F372="","",E372*F372)</f>
        <v/>
      </c>
      <c r="H372">
        <f>IF(A372="","",YEAR(A372))</f>
        <v/>
      </c>
    </row>
    <row r="373">
      <c r="A373" s="10" t="n"/>
      <c r="B373" s="9" t="n"/>
      <c r="C373" s="9" t="n"/>
      <c r="D373" s="9" t="n"/>
      <c r="E373" s="9" t="n"/>
      <c r="F373" s="13">
        <f>IF(OR(A373="",E373=""),"",IF(A373&gt;=Settings!$B$7,Settings!$B$6,Settings!$B$5))</f>
        <v/>
      </c>
      <c r="G373" s="7">
        <f>IF(F373="","",E373*F373)</f>
        <v/>
      </c>
      <c r="H373">
        <f>IF(A373="","",YEAR(A373))</f>
        <v/>
      </c>
    </row>
    <row r="374">
      <c r="A374" s="10" t="n"/>
      <c r="B374" s="9" t="n"/>
      <c r="C374" s="9" t="n"/>
      <c r="D374" s="9" t="n"/>
      <c r="E374" s="9" t="n"/>
      <c r="F374" s="13">
        <f>IF(OR(A374="",E374=""),"",IF(A374&gt;=Settings!$B$7,Settings!$B$6,Settings!$B$5))</f>
        <v/>
      </c>
      <c r="G374" s="7">
        <f>IF(F374="","",E374*F374)</f>
        <v/>
      </c>
      <c r="H374">
        <f>IF(A374="","",YEAR(A374))</f>
        <v/>
      </c>
    </row>
    <row r="375">
      <c r="A375" s="10" t="n"/>
      <c r="B375" s="9" t="n"/>
      <c r="C375" s="9" t="n"/>
      <c r="D375" s="9" t="n"/>
      <c r="E375" s="9" t="n"/>
      <c r="F375" s="13">
        <f>IF(OR(A375="",E375=""),"",IF(A375&gt;=Settings!$B$7,Settings!$B$6,Settings!$B$5))</f>
        <v/>
      </c>
      <c r="G375" s="7">
        <f>IF(F375="","",E375*F375)</f>
        <v/>
      </c>
      <c r="H375">
        <f>IF(A375="","",YEAR(A375))</f>
        <v/>
      </c>
    </row>
    <row r="376">
      <c r="A376" s="10" t="n"/>
      <c r="B376" s="9" t="n"/>
      <c r="C376" s="9" t="n"/>
      <c r="D376" s="9" t="n"/>
      <c r="E376" s="9" t="n"/>
      <c r="F376" s="13">
        <f>IF(OR(A376="",E376=""),"",IF(A376&gt;=Settings!$B$7,Settings!$B$6,Settings!$B$5))</f>
        <v/>
      </c>
      <c r="G376" s="7">
        <f>IF(F376="","",E376*F376)</f>
        <v/>
      </c>
      <c r="H376">
        <f>IF(A376="","",YEAR(A376))</f>
        <v/>
      </c>
    </row>
    <row r="377">
      <c r="A377" s="10" t="n"/>
      <c r="B377" s="9" t="n"/>
      <c r="C377" s="9" t="n"/>
      <c r="D377" s="9" t="n"/>
      <c r="E377" s="9" t="n"/>
      <c r="F377" s="13">
        <f>IF(OR(A377="",E377=""),"",IF(A377&gt;=Settings!$B$7,Settings!$B$6,Settings!$B$5))</f>
        <v/>
      </c>
      <c r="G377" s="7">
        <f>IF(F377="","",E377*F377)</f>
        <v/>
      </c>
      <c r="H377">
        <f>IF(A377="","",YEAR(A377))</f>
        <v/>
      </c>
    </row>
    <row r="378">
      <c r="A378" s="10" t="n"/>
      <c r="B378" s="9" t="n"/>
      <c r="C378" s="9" t="n"/>
      <c r="D378" s="9" t="n"/>
      <c r="E378" s="9" t="n"/>
      <c r="F378" s="13">
        <f>IF(OR(A378="",E378=""),"",IF(A378&gt;=Settings!$B$7,Settings!$B$6,Settings!$B$5))</f>
        <v/>
      </c>
      <c r="G378" s="7">
        <f>IF(F378="","",E378*F378)</f>
        <v/>
      </c>
      <c r="H378">
        <f>IF(A378="","",YEAR(A378))</f>
        <v/>
      </c>
    </row>
    <row r="379">
      <c r="A379" s="10" t="n"/>
      <c r="B379" s="9" t="n"/>
      <c r="C379" s="9" t="n"/>
      <c r="D379" s="9" t="n"/>
      <c r="E379" s="9" t="n"/>
      <c r="F379" s="13">
        <f>IF(OR(A379="",E379=""),"",IF(A379&gt;=Settings!$B$7,Settings!$B$6,Settings!$B$5))</f>
        <v/>
      </c>
      <c r="G379" s="7">
        <f>IF(F379="","",E379*F379)</f>
        <v/>
      </c>
      <c r="H379">
        <f>IF(A379="","",YEAR(A379))</f>
        <v/>
      </c>
    </row>
    <row r="380">
      <c r="A380" s="10" t="n"/>
      <c r="B380" s="9" t="n"/>
      <c r="C380" s="9" t="n"/>
      <c r="D380" s="9" t="n"/>
      <c r="E380" s="9" t="n"/>
      <c r="F380" s="13">
        <f>IF(OR(A380="",E380=""),"",IF(A380&gt;=Settings!$B$7,Settings!$B$6,Settings!$B$5))</f>
        <v/>
      </c>
      <c r="G380" s="7">
        <f>IF(F380="","",E380*F380)</f>
        <v/>
      </c>
      <c r="H380">
        <f>IF(A380="","",YEAR(A380))</f>
        <v/>
      </c>
    </row>
    <row r="381">
      <c r="A381" s="10" t="n"/>
      <c r="B381" s="9" t="n"/>
      <c r="C381" s="9" t="n"/>
      <c r="D381" s="9" t="n"/>
      <c r="E381" s="9" t="n"/>
      <c r="F381" s="13">
        <f>IF(OR(A381="",E381=""),"",IF(A381&gt;=Settings!$B$7,Settings!$B$6,Settings!$B$5))</f>
        <v/>
      </c>
      <c r="G381" s="7">
        <f>IF(F381="","",E381*F381)</f>
        <v/>
      </c>
      <c r="H381">
        <f>IF(A381="","",YEAR(A381))</f>
        <v/>
      </c>
    </row>
    <row r="382">
      <c r="A382" s="10" t="n"/>
      <c r="B382" s="9" t="n"/>
      <c r="C382" s="9" t="n"/>
      <c r="D382" s="9" t="n"/>
      <c r="E382" s="9" t="n"/>
      <c r="F382" s="13">
        <f>IF(OR(A382="",E382=""),"",IF(A382&gt;=Settings!$B$7,Settings!$B$6,Settings!$B$5))</f>
        <v/>
      </c>
      <c r="G382" s="7">
        <f>IF(F382="","",E382*F382)</f>
        <v/>
      </c>
      <c r="H382">
        <f>IF(A382="","",YEAR(A382))</f>
        <v/>
      </c>
    </row>
    <row r="383">
      <c r="A383" s="10" t="n"/>
      <c r="B383" s="9" t="n"/>
      <c r="C383" s="9" t="n"/>
      <c r="D383" s="9" t="n"/>
      <c r="E383" s="9" t="n"/>
      <c r="F383" s="13">
        <f>IF(OR(A383="",E383=""),"",IF(A383&gt;=Settings!$B$7,Settings!$B$6,Settings!$B$5))</f>
        <v/>
      </c>
      <c r="G383" s="7">
        <f>IF(F383="","",E383*F383)</f>
        <v/>
      </c>
      <c r="H383">
        <f>IF(A383="","",YEAR(A383))</f>
        <v/>
      </c>
    </row>
    <row r="384">
      <c r="A384" s="10" t="n"/>
      <c r="B384" s="9" t="n"/>
      <c r="C384" s="9" t="n"/>
      <c r="D384" s="9" t="n"/>
      <c r="E384" s="9" t="n"/>
      <c r="F384" s="13">
        <f>IF(OR(A384="",E384=""),"",IF(A384&gt;=Settings!$B$7,Settings!$B$6,Settings!$B$5))</f>
        <v/>
      </c>
      <c r="G384" s="7">
        <f>IF(F384="","",E384*F384)</f>
        <v/>
      </c>
      <c r="H384">
        <f>IF(A384="","",YEAR(A384))</f>
        <v/>
      </c>
    </row>
    <row r="385">
      <c r="A385" s="10" t="n"/>
      <c r="B385" s="9" t="n"/>
      <c r="C385" s="9" t="n"/>
      <c r="D385" s="9" t="n"/>
      <c r="E385" s="9" t="n"/>
      <c r="F385" s="13">
        <f>IF(OR(A385="",E385=""),"",IF(A385&gt;=Settings!$B$7,Settings!$B$6,Settings!$B$5))</f>
        <v/>
      </c>
      <c r="G385" s="7">
        <f>IF(F385="","",E385*F385)</f>
        <v/>
      </c>
      <c r="H385">
        <f>IF(A385="","",YEAR(A385))</f>
        <v/>
      </c>
    </row>
    <row r="386">
      <c r="A386" s="10" t="n"/>
      <c r="B386" s="9" t="n"/>
      <c r="C386" s="9" t="n"/>
      <c r="D386" s="9" t="n"/>
      <c r="E386" s="9" t="n"/>
      <c r="F386" s="13">
        <f>IF(OR(A386="",E386=""),"",IF(A386&gt;=Settings!$B$7,Settings!$B$6,Settings!$B$5))</f>
        <v/>
      </c>
      <c r="G386" s="7">
        <f>IF(F386="","",E386*F386)</f>
        <v/>
      </c>
      <c r="H386">
        <f>IF(A386="","",YEAR(A386))</f>
        <v/>
      </c>
    </row>
    <row r="387">
      <c r="A387" s="10" t="n"/>
      <c r="B387" s="9" t="n"/>
      <c r="C387" s="9" t="n"/>
      <c r="D387" s="9" t="n"/>
      <c r="E387" s="9" t="n"/>
      <c r="F387" s="13">
        <f>IF(OR(A387="",E387=""),"",IF(A387&gt;=Settings!$B$7,Settings!$B$6,Settings!$B$5))</f>
        <v/>
      </c>
      <c r="G387" s="7">
        <f>IF(F387="","",E387*F387)</f>
        <v/>
      </c>
      <c r="H387">
        <f>IF(A387="","",YEAR(A387))</f>
        <v/>
      </c>
    </row>
    <row r="388">
      <c r="A388" s="10" t="n"/>
      <c r="B388" s="9" t="n"/>
      <c r="C388" s="9" t="n"/>
      <c r="D388" s="9" t="n"/>
      <c r="E388" s="9" t="n"/>
      <c r="F388" s="13">
        <f>IF(OR(A388="",E388=""),"",IF(A388&gt;=Settings!$B$7,Settings!$B$6,Settings!$B$5))</f>
        <v/>
      </c>
      <c r="G388" s="7">
        <f>IF(F388="","",E388*F388)</f>
        <v/>
      </c>
      <c r="H388">
        <f>IF(A388="","",YEAR(A388))</f>
        <v/>
      </c>
    </row>
    <row r="389">
      <c r="A389" s="10" t="n"/>
      <c r="B389" s="9" t="n"/>
      <c r="C389" s="9" t="n"/>
      <c r="D389" s="9" t="n"/>
      <c r="E389" s="9" t="n"/>
      <c r="F389" s="13">
        <f>IF(OR(A389="",E389=""),"",IF(A389&gt;=Settings!$B$7,Settings!$B$6,Settings!$B$5))</f>
        <v/>
      </c>
      <c r="G389" s="7">
        <f>IF(F389="","",E389*F389)</f>
        <v/>
      </c>
      <c r="H389">
        <f>IF(A389="","",YEAR(A389))</f>
        <v/>
      </c>
    </row>
    <row r="390">
      <c r="A390" s="10" t="n"/>
      <c r="B390" s="9" t="n"/>
      <c r="C390" s="9" t="n"/>
      <c r="D390" s="9" t="n"/>
      <c r="E390" s="9" t="n"/>
      <c r="F390" s="13">
        <f>IF(OR(A390="",E390=""),"",IF(A390&gt;=Settings!$B$7,Settings!$B$6,Settings!$B$5))</f>
        <v/>
      </c>
      <c r="G390" s="7">
        <f>IF(F390="","",E390*F390)</f>
        <v/>
      </c>
      <c r="H390">
        <f>IF(A390="","",YEAR(A390))</f>
        <v/>
      </c>
    </row>
    <row r="391">
      <c r="A391" s="10" t="n"/>
      <c r="B391" s="9" t="n"/>
      <c r="C391" s="9" t="n"/>
      <c r="D391" s="9" t="n"/>
      <c r="E391" s="9" t="n"/>
      <c r="F391" s="13">
        <f>IF(OR(A391="",E391=""),"",IF(A391&gt;=Settings!$B$7,Settings!$B$6,Settings!$B$5))</f>
        <v/>
      </c>
      <c r="G391" s="7">
        <f>IF(F391="","",E391*F391)</f>
        <v/>
      </c>
      <c r="H391">
        <f>IF(A391="","",YEAR(A391))</f>
        <v/>
      </c>
    </row>
    <row r="392">
      <c r="A392" s="10" t="n"/>
      <c r="B392" s="9" t="n"/>
      <c r="C392" s="9" t="n"/>
      <c r="D392" s="9" t="n"/>
      <c r="E392" s="9" t="n"/>
      <c r="F392" s="13">
        <f>IF(OR(A392="",E392=""),"",IF(A392&gt;=Settings!$B$7,Settings!$B$6,Settings!$B$5))</f>
        <v/>
      </c>
      <c r="G392" s="7">
        <f>IF(F392="","",E392*F392)</f>
        <v/>
      </c>
      <c r="H392">
        <f>IF(A392="","",YEAR(A392))</f>
        <v/>
      </c>
    </row>
    <row r="393">
      <c r="A393" s="10" t="n"/>
      <c r="B393" s="9" t="n"/>
      <c r="C393" s="9" t="n"/>
      <c r="D393" s="9" t="n"/>
      <c r="E393" s="9" t="n"/>
      <c r="F393" s="13">
        <f>IF(OR(A393="",E393=""),"",IF(A393&gt;=Settings!$B$7,Settings!$B$6,Settings!$B$5))</f>
        <v/>
      </c>
      <c r="G393" s="7">
        <f>IF(F393="","",E393*F393)</f>
        <v/>
      </c>
      <c r="H393">
        <f>IF(A393="","",YEAR(A393))</f>
        <v/>
      </c>
    </row>
    <row r="394">
      <c r="A394" s="10" t="n"/>
      <c r="B394" s="9" t="n"/>
      <c r="C394" s="9" t="n"/>
      <c r="D394" s="9" t="n"/>
      <c r="E394" s="9" t="n"/>
      <c r="F394" s="13">
        <f>IF(OR(A394="",E394=""),"",IF(A394&gt;=Settings!$B$7,Settings!$B$6,Settings!$B$5))</f>
        <v/>
      </c>
      <c r="G394" s="7">
        <f>IF(F394="","",E394*F394)</f>
        <v/>
      </c>
      <c r="H394">
        <f>IF(A394="","",YEAR(A394))</f>
        <v/>
      </c>
    </row>
    <row r="395">
      <c r="A395" s="10" t="n"/>
      <c r="B395" s="9" t="n"/>
      <c r="C395" s="9" t="n"/>
      <c r="D395" s="9" t="n"/>
      <c r="E395" s="9" t="n"/>
      <c r="F395" s="13">
        <f>IF(OR(A395="",E395=""),"",IF(A395&gt;=Settings!$B$7,Settings!$B$6,Settings!$B$5))</f>
        <v/>
      </c>
      <c r="G395" s="7">
        <f>IF(F395="","",E395*F395)</f>
        <v/>
      </c>
      <c r="H395">
        <f>IF(A395="","",YEAR(A395))</f>
        <v/>
      </c>
    </row>
    <row r="396">
      <c r="A396" s="10" t="n"/>
      <c r="B396" s="9" t="n"/>
      <c r="C396" s="9" t="n"/>
      <c r="D396" s="9" t="n"/>
      <c r="E396" s="9" t="n"/>
      <c r="F396" s="13">
        <f>IF(OR(A396="",E396=""),"",IF(A396&gt;=Settings!$B$7,Settings!$B$6,Settings!$B$5))</f>
        <v/>
      </c>
      <c r="G396" s="7">
        <f>IF(F396="","",E396*F396)</f>
        <v/>
      </c>
      <c r="H396">
        <f>IF(A396="","",YEAR(A396))</f>
        <v/>
      </c>
    </row>
    <row r="397">
      <c r="A397" s="10" t="n"/>
      <c r="B397" s="9" t="n"/>
      <c r="C397" s="9" t="n"/>
      <c r="D397" s="9" t="n"/>
      <c r="E397" s="9" t="n"/>
      <c r="F397" s="13">
        <f>IF(OR(A397="",E397=""),"",IF(A397&gt;=Settings!$B$7,Settings!$B$6,Settings!$B$5))</f>
        <v/>
      </c>
      <c r="G397" s="7">
        <f>IF(F397="","",E397*F397)</f>
        <v/>
      </c>
      <c r="H397">
        <f>IF(A397="","",YEAR(A397))</f>
        <v/>
      </c>
    </row>
    <row r="398">
      <c r="A398" s="10" t="n"/>
      <c r="B398" s="9" t="n"/>
      <c r="C398" s="9" t="n"/>
      <c r="D398" s="9" t="n"/>
      <c r="E398" s="9" t="n"/>
      <c r="F398" s="13">
        <f>IF(OR(A398="",E398=""),"",IF(A398&gt;=Settings!$B$7,Settings!$B$6,Settings!$B$5))</f>
        <v/>
      </c>
      <c r="G398" s="7">
        <f>IF(F398="","",E398*F398)</f>
        <v/>
      </c>
      <c r="H398">
        <f>IF(A398="","",YEAR(A398))</f>
        <v/>
      </c>
    </row>
    <row r="399">
      <c r="A399" s="10" t="n"/>
      <c r="B399" s="9" t="n"/>
      <c r="C399" s="9" t="n"/>
      <c r="D399" s="9" t="n"/>
      <c r="E399" s="9" t="n"/>
      <c r="F399" s="13">
        <f>IF(OR(A399="",E399=""),"",IF(A399&gt;=Settings!$B$7,Settings!$B$6,Settings!$B$5))</f>
        <v/>
      </c>
      <c r="G399" s="7">
        <f>IF(F399="","",E399*F399)</f>
        <v/>
      </c>
      <c r="H399">
        <f>IF(A399="","",YEAR(A399))</f>
        <v/>
      </c>
    </row>
    <row r="400">
      <c r="A400" s="10" t="n"/>
      <c r="B400" s="9" t="n"/>
      <c r="C400" s="9" t="n"/>
      <c r="D400" s="9" t="n"/>
      <c r="E400" s="9" t="n"/>
      <c r="F400" s="13">
        <f>IF(OR(A400="",E400=""),"",IF(A400&gt;=Settings!$B$7,Settings!$B$6,Settings!$B$5))</f>
        <v/>
      </c>
      <c r="G400" s="7">
        <f>IF(F400="","",E400*F400)</f>
        <v/>
      </c>
      <c r="H400">
        <f>IF(A400="","",YEAR(A400))</f>
        <v/>
      </c>
    </row>
    <row r="401">
      <c r="A401" s="10" t="n"/>
      <c r="B401" s="9" t="n"/>
      <c r="C401" s="9" t="n"/>
      <c r="D401" s="9" t="n"/>
      <c r="E401" s="9" t="n"/>
      <c r="F401" s="13">
        <f>IF(OR(A401="",E401=""),"",IF(A401&gt;=Settings!$B$7,Settings!$B$6,Settings!$B$5))</f>
        <v/>
      </c>
      <c r="G401" s="7">
        <f>IF(F401="","",E401*F401)</f>
        <v/>
      </c>
      <c r="H401">
        <f>IF(A401="","",YEAR(A401))</f>
        <v/>
      </c>
    </row>
    <row r="402">
      <c r="A402" s="10" t="n"/>
      <c r="B402" s="9" t="n"/>
      <c r="C402" s="9" t="n"/>
      <c r="D402" s="9" t="n"/>
      <c r="E402" s="9" t="n"/>
      <c r="F402" s="13">
        <f>IF(OR(A402="",E402=""),"",IF(A402&gt;=Settings!$B$7,Settings!$B$6,Settings!$B$5))</f>
        <v/>
      </c>
      <c r="G402" s="7">
        <f>IF(F402="","",E402*F402)</f>
        <v/>
      </c>
      <c r="H402">
        <f>IF(A402="","",YEAR(A402))</f>
        <v/>
      </c>
    </row>
    <row r="403">
      <c r="A403" s="10" t="n"/>
      <c r="B403" s="9" t="n"/>
      <c r="C403" s="9" t="n"/>
      <c r="D403" s="9" t="n"/>
      <c r="E403" s="9" t="n"/>
      <c r="F403" s="13">
        <f>IF(OR(A403="",E403=""),"",IF(A403&gt;=Settings!$B$7,Settings!$B$6,Settings!$B$5))</f>
        <v/>
      </c>
      <c r="G403" s="7">
        <f>IF(F403="","",E403*F403)</f>
        <v/>
      </c>
      <c r="H403">
        <f>IF(A403="","",YEAR(A403))</f>
        <v/>
      </c>
    </row>
    <row r="404">
      <c r="A404" s="10" t="n"/>
      <c r="B404" s="9" t="n"/>
      <c r="C404" s="9" t="n"/>
      <c r="D404" s="9" t="n"/>
      <c r="E404" s="9" t="n"/>
      <c r="F404" s="13">
        <f>IF(OR(A404="",E404=""),"",IF(A404&gt;=Settings!$B$7,Settings!$B$6,Settings!$B$5))</f>
        <v/>
      </c>
      <c r="G404" s="7">
        <f>IF(F404="","",E404*F404)</f>
        <v/>
      </c>
      <c r="H404">
        <f>IF(A404="","",YEAR(A404))</f>
        <v/>
      </c>
    </row>
    <row r="405">
      <c r="A405" s="10" t="n"/>
      <c r="B405" s="9" t="n"/>
      <c r="C405" s="9" t="n"/>
      <c r="D405" s="9" t="n"/>
      <c r="E405" s="9" t="n"/>
      <c r="F405" s="13">
        <f>IF(OR(A405="",E405=""),"",IF(A405&gt;=Settings!$B$7,Settings!$B$6,Settings!$B$5))</f>
        <v/>
      </c>
      <c r="G405" s="7">
        <f>IF(F405="","",E405*F405)</f>
        <v/>
      </c>
      <c r="H405">
        <f>IF(A405="","",YEAR(A405))</f>
        <v/>
      </c>
    </row>
    <row r="406">
      <c r="A406" s="10" t="n"/>
      <c r="B406" s="9" t="n"/>
      <c r="C406" s="9" t="n"/>
      <c r="D406" s="9" t="n"/>
      <c r="E406" s="9" t="n"/>
      <c r="F406" s="13">
        <f>IF(OR(A406="",E406=""),"",IF(A406&gt;=Settings!$B$7,Settings!$B$6,Settings!$B$5))</f>
        <v/>
      </c>
      <c r="G406" s="7">
        <f>IF(F406="","",E406*F406)</f>
        <v/>
      </c>
      <c r="H406">
        <f>IF(A406="","",YEAR(A406))</f>
        <v/>
      </c>
    </row>
    <row r="407">
      <c r="A407" s="10" t="n"/>
      <c r="B407" s="9" t="n"/>
      <c r="C407" s="9" t="n"/>
      <c r="D407" s="9" t="n"/>
      <c r="E407" s="9" t="n"/>
      <c r="F407" s="13">
        <f>IF(OR(A407="",E407=""),"",IF(A407&gt;=Settings!$B$7,Settings!$B$6,Settings!$B$5))</f>
        <v/>
      </c>
      <c r="G407" s="7">
        <f>IF(F407="","",E407*F407)</f>
        <v/>
      </c>
      <c r="H407">
        <f>IF(A407="","",YEAR(A407))</f>
        <v/>
      </c>
    </row>
    <row r="408">
      <c r="A408" s="10" t="n"/>
      <c r="B408" s="9" t="n"/>
      <c r="C408" s="9" t="n"/>
      <c r="D408" s="9" t="n"/>
      <c r="E408" s="9" t="n"/>
      <c r="F408" s="13">
        <f>IF(OR(A408="",E408=""),"",IF(A408&gt;=Settings!$B$7,Settings!$B$6,Settings!$B$5))</f>
        <v/>
      </c>
      <c r="G408" s="7">
        <f>IF(F408="","",E408*F408)</f>
        <v/>
      </c>
      <c r="H408">
        <f>IF(A408="","",YEAR(A408))</f>
        <v/>
      </c>
    </row>
    <row r="409">
      <c r="A409" s="10" t="n"/>
      <c r="B409" s="9" t="n"/>
      <c r="C409" s="9" t="n"/>
      <c r="D409" s="9" t="n"/>
      <c r="E409" s="9" t="n"/>
      <c r="F409" s="13">
        <f>IF(OR(A409="",E409=""),"",IF(A409&gt;=Settings!$B$7,Settings!$B$6,Settings!$B$5))</f>
        <v/>
      </c>
      <c r="G409" s="7">
        <f>IF(F409="","",E409*F409)</f>
        <v/>
      </c>
      <c r="H409">
        <f>IF(A409="","",YEAR(A409))</f>
        <v/>
      </c>
    </row>
    <row r="410">
      <c r="A410" s="10" t="n"/>
      <c r="B410" s="9" t="n"/>
      <c r="C410" s="9" t="n"/>
      <c r="D410" s="9" t="n"/>
      <c r="E410" s="9" t="n"/>
      <c r="F410" s="13">
        <f>IF(OR(A410="",E410=""),"",IF(A410&gt;=Settings!$B$7,Settings!$B$6,Settings!$B$5))</f>
        <v/>
      </c>
      <c r="G410" s="7">
        <f>IF(F410="","",E410*F410)</f>
        <v/>
      </c>
      <c r="H410">
        <f>IF(A410="","",YEAR(A410))</f>
        <v/>
      </c>
    </row>
    <row r="411">
      <c r="A411" s="10" t="n"/>
      <c r="B411" s="9" t="n"/>
      <c r="C411" s="9" t="n"/>
      <c r="D411" s="9" t="n"/>
      <c r="E411" s="9" t="n"/>
      <c r="F411" s="13">
        <f>IF(OR(A411="",E411=""),"",IF(A411&gt;=Settings!$B$7,Settings!$B$6,Settings!$B$5))</f>
        <v/>
      </c>
      <c r="G411" s="7">
        <f>IF(F411="","",E411*F411)</f>
        <v/>
      </c>
      <c r="H411">
        <f>IF(A411="","",YEAR(A411))</f>
        <v/>
      </c>
    </row>
    <row r="412">
      <c r="A412" s="10" t="n"/>
      <c r="B412" s="9" t="n"/>
      <c r="C412" s="9" t="n"/>
      <c r="D412" s="9" t="n"/>
      <c r="E412" s="9" t="n"/>
      <c r="F412" s="13">
        <f>IF(OR(A412="",E412=""),"",IF(A412&gt;=Settings!$B$7,Settings!$B$6,Settings!$B$5))</f>
        <v/>
      </c>
      <c r="G412" s="7">
        <f>IF(F412="","",E412*F412)</f>
        <v/>
      </c>
      <c r="H412">
        <f>IF(A412="","",YEAR(A412))</f>
        <v/>
      </c>
    </row>
    <row r="413">
      <c r="A413" s="10" t="n"/>
      <c r="B413" s="9" t="n"/>
      <c r="C413" s="9" t="n"/>
      <c r="D413" s="9" t="n"/>
      <c r="E413" s="9" t="n"/>
      <c r="F413" s="13">
        <f>IF(OR(A413="",E413=""),"",IF(A413&gt;=Settings!$B$7,Settings!$B$6,Settings!$B$5))</f>
        <v/>
      </c>
      <c r="G413" s="7">
        <f>IF(F413="","",E413*F413)</f>
        <v/>
      </c>
      <c r="H413">
        <f>IF(A413="","",YEAR(A413))</f>
        <v/>
      </c>
    </row>
    <row r="414">
      <c r="A414" s="10" t="n"/>
      <c r="B414" s="9" t="n"/>
      <c r="C414" s="9" t="n"/>
      <c r="D414" s="9" t="n"/>
      <c r="E414" s="9" t="n"/>
      <c r="F414" s="13">
        <f>IF(OR(A414="",E414=""),"",IF(A414&gt;=Settings!$B$7,Settings!$B$6,Settings!$B$5))</f>
        <v/>
      </c>
      <c r="G414" s="7">
        <f>IF(F414="","",E414*F414)</f>
        <v/>
      </c>
      <c r="H414">
        <f>IF(A414="","",YEAR(A414))</f>
        <v/>
      </c>
    </row>
    <row r="415">
      <c r="A415" s="10" t="n"/>
      <c r="B415" s="9" t="n"/>
      <c r="C415" s="9" t="n"/>
      <c r="D415" s="9" t="n"/>
      <c r="E415" s="9" t="n"/>
      <c r="F415" s="13">
        <f>IF(OR(A415="",E415=""),"",IF(A415&gt;=Settings!$B$7,Settings!$B$6,Settings!$B$5))</f>
        <v/>
      </c>
      <c r="G415" s="7">
        <f>IF(F415="","",E415*F415)</f>
        <v/>
      </c>
      <c r="H415">
        <f>IF(A415="","",YEAR(A415))</f>
        <v/>
      </c>
    </row>
    <row r="416">
      <c r="A416" s="10" t="n"/>
      <c r="B416" s="9" t="n"/>
      <c r="C416" s="9" t="n"/>
      <c r="D416" s="9" t="n"/>
      <c r="E416" s="9" t="n"/>
      <c r="F416" s="13">
        <f>IF(OR(A416="",E416=""),"",IF(A416&gt;=Settings!$B$7,Settings!$B$6,Settings!$B$5))</f>
        <v/>
      </c>
      <c r="G416" s="7">
        <f>IF(F416="","",E416*F416)</f>
        <v/>
      </c>
      <c r="H416">
        <f>IF(A416="","",YEAR(A416))</f>
        <v/>
      </c>
    </row>
    <row r="417">
      <c r="A417" s="10" t="n"/>
      <c r="B417" s="9" t="n"/>
      <c r="C417" s="9" t="n"/>
      <c r="D417" s="9" t="n"/>
      <c r="E417" s="9" t="n"/>
      <c r="F417" s="13">
        <f>IF(OR(A417="",E417=""),"",IF(A417&gt;=Settings!$B$7,Settings!$B$6,Settings!$B$5))</f>
        <v/>
      </c>
      <c r="G417" s="7">
        <f>IF(F417="","",E417*F417)</f>
        <v/>
      </c>
      <c r="H417">
        <f>IF(A417="","",YEAR(A417))</f>
        <v/>
      </c>
    </row>
    <row r="418">
      <c r="A418" s="10" t="n"/>
      <c r="B418" s="9" t="n"/>
      <c r="C418" s="9" t="n"/>
      <c r="D418" s="9" t="n"/>
      <c r="E418" s="9" t="n"/>
      <c r="F418" s="13">
        <f>IF(OR(A418="",E418=""),"",IF(A418&gt;=Settings!$B$7,Settings!$B$6,Settings!$B$5))</f>
        <v/>
      </c>
      <c r="G418" s="7">
        <f>IF(F418="","",E418*F418)</f>
        <v/>
      </c>
      <c r="H418">
        <f>IF(A418="","",YEAR(A418))</f>
        <v/>
      </c>
    </row>
    <row r="419">
      <c r="A419" s="10" t="n"/>
      <c r="B419" s="9" t="n"/>
      <c r="C419" s="9" t="n"/>
      <c r="D419" s="9" t="n"/>
      <c r="E419" s="9" t="n"/>
      <c r="F419" s="13">
        <f>IF(OR(A419="",E419=""),"",IF(A419&gt;=Settings!$B$7,Settings!$B$6,Settings!$B$5))</f>
        <v/>
      </c>
      <c r="G419" s="7">
        <f>IF(F419="","",E419*F419)</f>
        <v/>
      </c>
      <c r="H419">
        <f>IF(A419="","",YEAR(A419))</f>
        <v/>
      </c>
    </row>
    <row r="420">
      <c r="A420" s="10" t="n"/>
      <c r="B420" s="9" t="n"/>
      <c r="C420" s="9" t="n"/>
      <c r="D420" s="9" t="n"/>
      <c r="E420" s="9" t="n"/>
      <c r="F420" s="13">
        <f>IF(OR(A420="",E420=""),"",IF(A420&gt;=Settings!$B$7,Settings!$B$6,Settings!$B$5))</f>
        <v/>
      </c>
      <c r="G420" s="7">
        <f>IF(F420="","",E420*F420)</f>
        <v/>
      </c>
      <c r="H420">
        <f>IF(A420="","",YEAR(A420))</f>
        <v/>
      </c>
    </row>
    <row r="421">
      <c r="A421" s="10" t="n"/>
      <c r="B421" s="9" t="n"/>
      <c r="C421" s="9" t="n"/>
      <c r="D421" s="9" t="n"/>
      <c r="E421" s="9" t="n"/>
      <c r="F421" s="13">
        <f>IF(OR(A421="",E421=""),"",IF(A421&gt;=Settings!$B$7,Settings!$B$6,Settings!$B$5))</f>
        <v/>
      </c>
      <c r="G421" s="7">
        <f>IF(F421="","",E421*F421)</f>
        <v/>
      </c>
      <c r="H421">
        <f>IF(A421="","",YEAR(A421))</f>
        <v/>
      </c>
    </row>
    <row r="422">
      <c r="A422" s="10" t="n"/>
      <c r="B422" s="9" t="n"/>
      <c r="C422" s="9" t="n"/>
      <c r="D422" s="9" t="n"/>
      <c r="E422" s="9" t="n"/>
      <c r="F422" s="13">
        <f>IF(OR(A422="",E422=""),"",IF(A422&gt;=Settings!$B$7,Settings!$B$6,Settings!$B$5))</f>
        <v/>
      </c>
      <c r="G422" s="7">
        <f>IF(F422="","",E422*F422)</f>
        <v/>
      </c>
      <c r="H422">
        <f>IF(A422="","",YEAR(A422))</f>
        <v/>
      </c>
    </row>
    <row r="423">
      <c r="A423" s="10" t="n"/>
      <c r="B423" s="9" t="n"/>
      <c r="C423" s="9" t="n"/>
      <c r="D423" s="9" t="n"/>
      <c r="E423" s="9" t="n"/>
      <c r="F423" s="13">
        <f>IF(OR(A423="",E423=""),"",IF(A423&gt;=Settings!$B$7,Settings!$B$6,Settings!$B$5))</f>
        <v/>
      </c>
      <c r="G423" s="7">
        <f>IF(F423="","",E423*F423)</f>
        <v/>
      </c>
      <c r="H423">
        <f>IF(A423="","",YEAR(A423))</f>
        <v/>
      </c>
    </row>
    <row r="424">
      <c r="A424" s="10" t="n"/>
      <c r="B424" s="9" t="n"/>
      <c r="C424" s="9" t="n"/>
      <c r="D424" s="9" t="n"/>
      <c r="E424" s="9" t="n"/>
      <c r="F424" s="13">
        <f>IF(OR(A424="",E424=""),"",IF(A424&gt;=Settings!$B$7,Settings!$B$6,Settings!$B$5))</f>
        <v/>
      </c>
      <c r="G424" s="7">
        <f>IF(F424="","",E424*F424)</f>
        <v/>
      </c>
      <c r="H424">
        <f>IF(A424="","",YEAR(A424))</f>
        <v/>
      </c>
    </row>
    <row r="425">
      <c r="A425" s="10" t="n"/>
      <c r="B425" s="9" t="n"/>
      <c r="C425" s="9" t="n"/>
      <c r="D425" s="9" t="n"/>
      <c r="E425" s="9" t="n"/>
      <c r="F425" s="13">
        <f>IF(OR(A425="",E425=""),"",IF(A425&gt;=Settings!$B$7,Settings!$B$6,Settings!$B$5))</f>
        <v/>
      </c>
      <c r="G425" s="7">
        <f>IF(F425="","",E425*F425)</f>
        <v/>
      </c>
      <c r="H425">
        <f>IF(A425="","",YEAR(A425))</f>
        <v/>
      </c>
    </row>
    <row r="426">
      <c r="A426" s="10" t="n"/>
      <c r="B426" s="9" t="n"/>
      <c r="C426" s="9" t="n"/>
      <c r="D426" s="9" t="n"/>
      <c r="E426" s="9" t="n"/>
      <c r="F426" s="13">
        <f>IF(OR(A426="",E426=""),"",IF(A426&gt;=Settings!$B$7,Settings!$B$6,Settings!$B$5))</f>
        <v/>
      </c>
      <c r="G426" s="7">
        <f>IF(F426="","",E426*F426)</f>
        <v/>
      </c>
      <c r="H426">
        <f>IF(A426="","",YEAR(A426))</f>
        <v/>
      </c>
    </row>
    <row r="427">
      <c r="A427" s="10" t="n"/>
      <c r="B427" s="9" t="n"/>
      <c r="C427" s="9" t="n"/>
      <c r="D427" s="9" t="n"/>
      <c r="E427" s="9" t="n"/>
      <c r="F427" s="13">
        <f>IF(OR(A427="",E427=""),"",IF(A427&gt;=Settings!$B$7,Settings!$B$6,Settings!$B$5))</f>
        <v/>
      </c>
      <c r="G427" s="7">
        <f>IF(F427="","",E427*F427)</f>
        <v/>
      </c>
      <c r="H427">
        <f>IF(A427="","",YEAR(A427))</f>
        <v/>
      </c>
    </row>
    <row r="428">
      <c r="A428" s="10" t="n"/>
      <c r="B428" s="9" t="n"/>
      <c r="C428" s="9" t="n"/>
      <c r="D428" s="9" t="n"/>
      <c r="E428" s="9" t="n"/>
      <c r="F428" s="13">
        <f>IF(OR(A428="",E428=""),"",IF(A428&gt;=Settings!$B$7,Settings!$B$6,Settings!$B$5))</f>
        <v/>
      </c>
      <c r="G428" s="7">
        <f>IF(F428="","",E428*F428)</f>
        <v/>
      </c>
      <c r="H428">
        <f>IF(A428="","",YEAR(A428))</f>
        <v/>
      </c>
    </row>
    <row r="429">
      <c r="A429" s="10" t="n"/>
      <c r="B429" s="9" t="n"/>
      <c r="C429" s="9" t="n"/>
      <c r="D429" s="9" t="n"/>
      <c r="E429" s="9" t="n"/>
      <c r="F429" s="13">
        <f>IF(OR(A429="",E429=""),"",IF(A429&gt;=Settings!$B$7,Settings!$B$6,Settings!$B$5))</f>
        <v/>
      </c>
      <c r="G429" s="7">
        <f>IF(F429="","",E429*F429)</f>
        <v/>
      </c>
      <c r="H429">
        <f>IF(A429="","",YEAR(A429))</f>
        <v/>
      </c>
    </row>
    <row r="430">
      <c r="A430" s="10" t="n"/>
      <c r="B430" s="9" t="n"/>
      <c r="C430" s="9" t="n"/>
      <c r="D430" s="9" t="n"/>
      <c r="E430" s="9" t="n"/>
      <c r="F430" s="13">
        <f>IF(OR(A430="",E430=""),"",IF(A430&gt;=Settings!$B$7,Settings!$B$6,Settings!$B$5))</f>
        <v/>
      </c>
      <c r="G430" s="7">
        <f>IF(F430="","",E430*F430)</f>
        <v/>
      </c>
      <c r="H430">
        <f>IF(A430="","",YEAR(A430))</f>
        <v/>
      </c>
    </row>
    <row r="431">
      <c r="A431" s="10" t="n"/>
      <c r="B431" s="9" t="n"/>
      <c r="C431" s="9" t="n"/>
      <c r="D431" s="9" t="n"/>
      <c r="E431" s="9" t="n"/>
      <c r="F431" s="13">
        <f>IF(OR(A431="",E431=""),"",IF(A431&gt;=Settings!$B$7,Settings!$B$6,Settings!$B$5))</f>
        <v/>
      </c>
      <c r="G431" s="7">
        <f>IF(F431="","",E431*F431)</f>
        <v/>
      </c>
      <c r="H431">
        <f>IF(A431="","",YEAR(A431))</f>
        <v/>
      </c>
    </row>
    <row r="432">
      <c r="A432" s="10" t="n"/>
      <c r="B432" s="9" t="n"/>
      <c r="C432" s="9" t="n"/>
      <c r="D432" s="9" t="n"/>
      <c r="E432" s="9" t="n"/>
      <c r="F432" s="13">
        <f>IF(OR(A432="",E432=""),"",IF(A432&gt;=Settings!$B$7,Settings!$B$6,Settings!$B$5))</f>
        <v/>
      </c>
      <c r="G432" s="7">
        <f>IF(F432="","",E432*F432)</f>
        <v/>
      </c>
      <c r="H432">
        <f>IF(A432="","",YEAR(A432))</f>
        <v/>
      </c>
    </row>
    <row r="433">
      <c r="A433" s="10" t="n"/>
      <c r="B433" s="9" t="n"/>
      <c r="C433" s="9" t="n"/>
      <c r="D433" s="9" t="n"/>
      <c r="E433" s="9" t="n"/>
      <c r="F433" s="13">
        <f>IF(OR(A433="",E433=""),"",IF(A433&gt;=Settings!$B$7,Settings!$B$6,Settings!$B$5))</f>
        <v/>
      </c>
      <c r="G433" s="7">
        <f>IF(F433="","",E433*F433)</f>
        <v/>
      </c>
      <c r="H433">
        <f>IF(A433="","",YEAR(A433))</f>
        <v/>
      </c>
    </row>
    <row r="434">
      <c r="A434" s="10" t="n"/>
      <c r="B434" s="9" t="n"/>
      <c r="C434" s="9" t="n"/>
      <c r="D434" s="9" t="n"/>
      <c r="E434" s="9" t="n"/>
      <c r="F434" s="13">
        <f>IF(OR(A434="",E434=""),"",IF(A434&gt;=Settings!$B$7,Settings!$B$6,Settings!$B$5))</f>
        <v/>
      </c>
      <c r="G434" s="7">
        <f>IF(F434="","",E434*F434)</f>
        <v/>
      </c>
      <c r="H434">
        <f>IF(A434="","",YEAR(A434))</f>
        <v/>
      </c>
    </row>
    <row r="435">
      <c r="A435" s="10" t="n"/>
      <c r="B435" s="9" t="n"/>
      <c r="C435" s="9" t="n"/>
      <c r="D435" s="9" t="n"/>
      <c r="E435" s="9" t="n"/>
      <c r="F435" s="13">
        <f>IF(OR(A435="",E435=""),"",IF(A435&gt;=Settings!$B$7,Settings!$B$6,Settings!$B$5))</f>
        <v/>
      </c>
      <c r="G435" s="7">
        <f>IF(F435="","",E435*F435)</f>
        <v/>
      </c>
      <c r="H435">
        <f>IF(A435="","",YEAR(A435))</f>
        <v/>
      </c>
    </row>
    <row r="436">
      <c r="A436" s="10" t="n"/>
      <c r="B436" s="9" t="n"/>
      <c r="C436" s="9" t="n"/>
      <c r="D436" s="9" t="n"/>
      <c r="E436" s="9" t="n"/>
      <c r="F436" s="13">
        <f>IF(OR(A436="",E436=""),"",IF(A436&gt;=Settings!$B$7,Settings!$B$6,Settings!$B$5))</f>
        <v/>
      </c>
      <c r="G436" s="7">
        <f>IF(F436="","",E436*F436)</f>
        <v/>
      </c>
      <c r="H436">
        <f>IF(A436="","",YEAR(A436))</f>
        <v/>
      </c>
    </row>
    <row r="437">
      <c r="A437" s="10" t="n"/>
      <c r="B437" s="9" t="n"/>
      <c r="C437" s="9" t="n"/>
      <c r="D437" s="9" t="n"/>
      <c r="E437" s="9" t="n"/>
      <c r="F437" s="13">
        <f>IF(OR(A437="",E437=""),"",IF(A437&gt;=Settings!$B$7,Settings!$B$6,Settings!$B$5))</f>
        <v/>
      </c>
      <c r="G437" s="7">
        <f>IF(F437="","",E437*F437)</f>
        <v/>
      </c>
      <c r="H437">
        <f>IF(A437="","",YEAR(A437))</f>
        <v/>
      </c>
    </row>
    <row r="438">
      <c r="A438" s="10" t="n"/>
      <c r="B438" s="9" t="n"/>
      <c r="C438" s="9" t="n"/>
      <c r="D438" s="9" t="n"/>
      <c r="E438" s="9" t="n"/>
      <c r="F438" s="13">
        <f>IF(OR(A438="",E438=""),"",IF(A438&gt;=Settings!$B$7,Settings!$B$6,Settings!$B$5))</f>
        <v/>
      </c>
      <c r="G438" s="7">
        <f>IF(F438="","",E438*F438)</f>
        <v/>
      </c>
      <c r="H438">
        <f>IF(A438="","",YEAR(A438))</f>
        <v/>
      </c>
    </row>
    <row r="439">
      <c r="A439" s="10" t="n"/>
      <c r="B439" s="9" t="n"/>
      <c r="C439" s="9" t="n"/>
      <c r="D439" s="9" t="n"/>
      <c r="E439" s="9" t="n"/>
      <c r="F439" s="13">
        <f>IF(OR(A439="",E439=""),"",IF(A439&gt;=Settings!$B$7,Settings!$B$6,Settings!$B$5))</f>
        <v/>
      </c>
      <c r="G439" s="7">
        <f>IF(F439="","",E439*F439)</f>
        <v/>
      </c>
      <c r="H439">
        <f>IF(A439="","",YEAR(A439))</f>
        <v/>
      </c>
    </row>
    <row r="440">
      <c r="A440" s="10" t="n"/>
      <c r="B440" s="9" t="n"/>
      <c r="C440" s="9" t="n"/>
      <c r="D440" s="9" t="n"/>
      <c r="E440" s="9" t="n"/>
      <c r="F440" s="13">
        <f>IF(OR(A440="",E440=""),"",IF(A440&gt;=Settings!$B$7,Settings!$B$6,Settings!$B$5))</f>
        <v/>
      </c>
      <c r="G440" s="7">
        <f>IF(F440="","",E440*F440)</f>
        <v/>
      </c>
      <c r="H440">
        <f>IF(A440="","",YEAR(A440))</f>
        <v/>
      </c>
    </row>
    <row r="441">
      <c r="A441" s="10" t="n"/>
      <c r="B441" s="9" t="n"/>
      <c r="C441" s="9" t="n"/>
      <c r="D441" s="9" t="n"/>
      <c r="E441" s="9" t="n"/>
      <c r="F441" s="13">
        <f>IF(OR(A441="",E441=""),"",IF(A441&gt;=Settings!$B$7,Settings!$B$6,Settings!$B$5))</f>
        <v/>
      </c>
      <c r="G441" s="7">
        <f>IF(F441="","",E441*F441)</f>
        <v/>
      </c>
      <c r="H441">
        <f>IF(A441="","",YEAR(A441))</f>
        <v/>
      </c>
    </row>
    <row r="442">
      <c r="A442" s="10" t="n"/>
      <c r="B442" s="9" t="n"/>
      <c r="C442" s="9" t="n"/>
      <c r="D442" s="9" t="n"/>
      <c r="E442" s="9" t="n"/>
      <c r="F442" s="13">
        <f>IF(OR(A442="",E442=""),"",IF(A442&gt;=Settings!$B$7,Settings!$B$6,Settings!$B$5))</f>
        <v/>
      </c>
      <c r="G442" s="7">
        <f>IF(F442="","",E442*F442)</f>
        <v/>
      </c>
      <c r="H442">
        <f>IF(A442="","",YEAR(A442))</f>
        <v/>
      </c>
    </row>
    <row r="443">
      <c r="A443" s="10" t="n"/>
      <c r="B443" s="9" t="n"/>
      <c r="C443" s="9" t="n"/>
      <c r="D443" s="9" t="n"/>
      <c r="E443" s="9" t="n"/>
      <c r="F443" s="13">
        <f>IF(OR(A443="",E443=""),"",IF(A443&gt;=Settings!$B$7,Settings!$B$6,Settings!$B$5))</f>
        <v/>
      </c>
      <c r="G443" s="7">
        <f>IF(F443="","",E443*F443)</f>
        <v/>
      </c>
      <c r="H443">
        <f>IF(A443="","",YEAR(A443))</f>
        <v/>
      </c>
    </row>
    <row r="444">
      <c r="A444" s="10" t="n"/>
      <c r="B444" s="9" t="n"/>
      <c r="C444" s="9" t="n"/>
      <c r="D444" s="9" t="n"/>
      <c r="E444" s="9" t="n"/>
      <c r="F444" s="13">
        <f>IF(OR(A444="",E444=""),"",IF(A444&gt;=Settings!$B$7,Settings!$B$6,Settings!$B$5))</f>
        <v/>
      </c>
      <c r="G444" s="7">
        <f>IF(F444="","",E444*F444)</f>
        <v/>
      </c>
      <c r="H444">
        <f>IF(A444="","",YEAR(A444))</f>
        <v/>
      </c>
    </row>
    <row r="445">
      <c r="A445" s="10" t="n"/>
      <c r="B445" s="9" t="n"/>
      <c r="C445" s="9" t="n"/>
      <c r="D445" s="9" t="n"/>
      <c r="E445" s="9" t="n"/>
      <c r="F445" s="13">
        <f>IF(OR(A445="",E445=""),"",IF(A445&gt;=Settings!$B$7,Settings!$B$6,Settings!$B$5))</f>
        <v/>
      </c>
      <c r="G445" s="7">
        <f>IF(F445="","",E445*F445)</f>
        <v/>
      </c>
      <c r="H445">
        <f>IF(A445="","",YEAR(A445))</f>
        <v/>
      </c>
    </row>
    <row r="446">
      <c r="A446" s="10" t="n"/>
      <c r="B446" s="9" t="n"/>
      <c r="C446" s="9" t="n"/>
      <c r="D446" s="9" t="n"/>
      <c r="E446" s="9" t="n"/>
      <c r="F446" s="13">
        <f>IF(OR(A446="",E446=""),"",IF(A446&gt;=Settings!$B$7,Settings!$B$6,Settings!$B$5))</f>
        <v/>
      </c>
      <c r="G446" s="7">
        <f>IF(F446="","",E446*F446)</f>
        <v/>
      </c>
      <c r="H446">
        <f>IF(A446="","",YEAR(A446))</f>
        <v/>
      </c>
    </row>
    <row r="447">
      <c r="A447" s="10" t="n"/>
      <c r="B447" s="9" t="n"/>
      <c r="C447" s="9" t="n"/>
      <c r="D447" s="9" t="n"/>
      <c r="E447" s="9" t="n"/>
      <c r="F447" s="13">
        <f>IF(OR(A447="",E447=""),"",IF(A447&gt;=Settings!$B$7,Settings!$B$6,Settings!$B$5))</f>
        <v/>
      </c>
      <c r="G447" s="7">
        <f>IF(F447="","",E447*F447)</f>
        <v/>
      </c>
      <c r="H447">
        <f>IF(A447="","",YEAR(A447))</f>
        <v/>
      </c>
    </row>
    <row r="448">
      <c r="A448" s="10" t="n"/>
      <c r="B448" s="9" t="n"/>
      <c r="C448" s="9" t="n"/>
      <c r="D448" s="9" t="n"/>
      <c r="E448" s="9" t="n"/>
      <c r="F448" s="13">
        <f>IF(OR(A448="",E448=""),"",IF(A448&gt;=Settings!$B$7,Settings!$B$6,Settings!$B$5))</f>
        <v/>
      </c>
      <c r="G448" s="7">
        <f>IF(F448="","",E448*F448)</f>
        <v/>
      </c>
      <c r="H448">
        <f>IF(A448="","",YEAR(A448))</f>
        <v/>
      </c>
    </row>
    <row r="449">
      <c r="A449" s="10" t="n"/>
      <c r="B449" s="9" t="n"/>
      <c r="C449" s="9" t="n"/>
      <c r="D449" s="9" t="n"/>
      <c r="E449" s="9" t="n"/>
      <c r="F449" s="13">
        <f>IF(OR(A449="",E449=""),"",IF(A449&gt;=Settings!$B$7,Settings!$B$6,Settings!$B$5))</f>
        <v/>
      </c>
      <c r="G449" s="7">
        <f>IF(F449="","",E449*F449)</f>
        <v/>
      </c>
      <c r="H449">
        <f>IF(A449="","",YEAR(A449))</f>
        <v/>
      </c>
    </row>
    <row r="450">
      <c r="A450" s="10" t="n"/>
      <c r="B450" s="9" t="n"/>
      <c r="C450" s="9" t="n"/>
      <c r="D450" s="9" t="n"/>
      <c r="E450" s="9" t="n"/>
      <c r="F450" s="13">
        <f>IF(OR(A450="",E450=""),"",IF(A450&gt;=Settings!$B$7,Settings!$B$6,Settings!$B$5))</f>
        <v/>
      </c>
      <c r="G450" s="7">
        <f>IF(F450="","",E450*F450)</f>
        <v/>
      </c>
      <c r="H450">
        <f>IF(A450="","",YEAR(A450))</f>
        <v/>
      </c>
    </row>
    <row r="451">
      <c r="A451" s="10" t="n"/>
      <c r="B451" s="9" t="n"/>
      <c r="C451" s="9" t="n"/>
      <c r="D451" s="9" t="n"/>
      <c r="E451" s="9" t="n"/>
      <c r="F451" s="13">
        <f>IF(OR(A451="",E451=""),"",IF(A451&gt;=Settings!$B$7,Settings!$B$6,Settings!$B$5))</f>
        <v/>
      </c>
      <c r="G451" s="7">
        <f>IF(F451="","",E451*F451)</f>
        <v/>
      </c>
      <c r="H451">
        <f>IF(A451="","",YEAR(A451))</f>
        <v/>
      </c>
    </row>
    <row r="452">
      <c r="A452" s="10" t="n"/>
      <c r="B452" s="9" t="n"/>
      <c r="C452" s="9" t="n"/>
      <c r="D452" s="9" t="n"/>
      <c r="E452" s="9" t="n"/>
      <c r="F452" s="13">
        <f>IF(OR(A452="",E452=""),"",IF(A452&gt;=Settings!$B$7,Settings!$B$6,Settings!$B$5))</f>
        <v/>
      </c>
      <c r="G452" s="7">
        <f>IF(F452="","",E452*F452)</f>
        <v/>
      </c>
      <c r="H452">
        <f>IF(A452="","",YEAR(A452))</f>
        <v/>
      </c>
    </row>
    <row r="453">
      <c r="A453" s="10" t="n"/>
      <c r="B453" s="9" t="n"/>
      <c r="C453" s="9" t="n"/>
      <c r="D453" s="9" t="n"/>
      <c r="E453" s="9" t="n"/>
      <c r="F453" s="13">
        <f>IF(OR(A453="",E453=""),"",IF(A453&gt;=Settings!$B$7,Settings!$B$6,Settings!$B$5))</f>
        <v/>
      </c>
      <c r="G453" s="7">
        <f>IF(F453="","",E453*F453)</f>
        <v/>
      </c>
      <c r="H453">
        <f>IF(A453="","",YEAR(A453))</f>
        <v/>
      </c>
    </row>
    <row r="454">
      <c r="A454" s="10" t="n"/>
      <c r="B454" s="9" t="n"/>
      <c r="C454" s="9" t="n"/>
      <c r="D454" s="9" t="n"/>
      <c r="E454" s="9" t="n"/>
      <c r="F454" s="13">
        <f>IF(OR(A454="",E454=""),"",IF(A454&gt;=Settings!$B$7,Settings!$B$6,Settings!$B$5))</f>
        <v/>
      </c>
      <c r="G454" s="7">
        <f>IF(F454="","",E454*F454)</f>
        <v/>
      </c>
      <c r="H454">
        <f>IF(A454="","",YEAR(A454))</f>
        <v/>
      </c>
    </row>
    <row r="455">
      <c r="A455" s="10" t="n"/>
      <c r="B455" s="9" t="n"/>
      <c r="C455" s="9" t="n"/>
      <c r="D455" s="9" t="n"/>
      <c r="E455" s="9" t="n"/>
      <c r="F455" s="13">
        <f>IF(OR(A455="",E455=""),"",IF(A455&gt;=Settings!$B$7,Settings!$B$6,Settings!$B$5))</f>
        <v/>
      </c>
      <c r="G455" s="7">
        <f>IF(F455="","",E455*F455)</f>
        <v/>
      </c>
      <c r="H455">
        <f>IF(A455="","",YEAR(A455))</f>
        <v/>
      </c>
    </row>
    <row r="456">
      <c r="A456" s="10" t="n"/>
      <c r="B456" s="9" t="n"/>
      <c r="C456" s="9" t="n"/>
      <c r="D456" s="9" t="n"/>
      <c r="E456" s="9" t="n"/>
      <c r="F456" s="13">
        <f>IF(OR(A456="",E456=""),"",IF(A456&gt;=Settings!$B$7,Settings!$B$6,Settings!$B$5))</f>
        <v/>
      </c>
      <c r="G456" s="7">
        <f>IF(F456="","",E456*F456)</f>
        <v/>
      </c>
      <c r="H456">
        <f>IF(A456="","",YEAR(A456))</f>
        <v/>
      </c>
    </row>
    <row r="457">
      <c r="A457" s="10" t="n"/>
      <c r="B457" s="9" t="n"/>
      <c r="C457" s="9" t="n"/>
      <c r="D457" s="9" t="n"/>
      <c r="E457" s="9" t="n"/>
      <c r="F457" s="13">
        <f>IF(OR(A457="",E457=""),"",IF(A457&gt;=Settings!$B$7,Settings!$B$6,Settings!$B$5))</f>
        <v/>
      </c>
      <c r="G457" s="7">
        <f>IF(F457="","",E457*F457)</f>
        <v/>
      </c>
      <c r="H457">
        <f>IF(A457="","",YEAR(A457))</f>
        <v/>
      </c>
    </row>
    <row r="458">
      <c r="A458" s="10" t="n"/>
      <c r="B458" s="9" t="n"/>
      <c r="C458" s="9" t="n"/>
      <c r="D458" s="9" t="n"/>
      <c r="E458" s="9" t="n"/>
      <c r="F458" s="13">
        <f>IF(OR(A458="",E458=""),"",IF(A458&gt;=Settings!$B$7,Settings!$B$6,Settings!$B$5))</f>
        <v/>
      </c>
      <c r="G458" s="7">
        <f>IF(F458="","",E458*F458)</f>
        <v/>
      </c>
      <c r="H458">
        <f>IF(A458="","",YEAR(A458))</f>
        <v/>
      </c>
    </row>
    <row r="459">
      <c r="A459" s="10" t="n"/>
      <c r="B459" s="9" t="n"/>
      <c r="C459" s="9" t="n"/>
      <c r="D459" s="9" t="n"/>
      <c r="E459" s="9" t="n"/>
      <c r="F459" s="13">
        <f>IF(OR(A459="",E459=""),"",IF(A459&gt;=Settings!$B$7,Settings!$B$6,Settings!$B$5))</f>
        <v/>
      </c>
      <c r="G459" s="7">
        <f>IF(F459="","",E459*F459)</f>
        <v/>
      </c>
      <c r="H459">
        <f>IF(A459="","",YEAR(A459))</f>
        <v/>
      </c>
    </row>
    <row r="460">
      <c r="A460" s="10" t="n"/>
      <c r="B460" s="9" t="n"/>
      <c r="C460" s="9" t="n"/>
      <c r="D460" s="9" t="n"/>
      <c r="E460" s="9" t="n"/>
      <c r="F460" s="13">
        <f>IF(OR(A460="",E460=""),"",IF(A460&gt;=Settings!$B$7,Settings!$B$6,Settings!$B$5))</f>
        <v/>
      </c>
      <c r="G460" s="7">
        <f>IF(F460="","",E460*F460)</f>
        <v/>
      </c>
      <c r="H460">
        <f>IF(A460="","",YEAR(A460))</f>
        <v/>
      </c>
    </row>
    <row r="461">
      <c r="A461" s="10" t="n"/>
      <c r="B461" s="9" t="n"/>
      <c r="C461" s="9" t="n"/>
      <c r="D461" s="9" t="n"/>
      <c r="E461" s="9" t="n"/>
      <c r="F461" s="13">
        <f>IF(OR(A461="",E461=""),"",IF(A461&gt;=Settings!$B$7,Settings!$B$6,Settings!$B$5))</f>
        <v/>
      </c>
      <c r="G461" s="7">
        <f>IF(F461="","",E461*F461)</f>
        <v/>
      </c>
      <c r="H461">
        <f>IF(A461="","",YEAR(A461))</f>
        <v/>
      </c>
    </row>
    <row r="462">
      <c r="A462" s="10" t="n"/>
      <c r="B462" s="9" t="n"/>
      <c r="C462" s="9" t="n"/>
      <c r="D462" s="9" t="n"/>
      <c r="E462" s="9" t="n"/>
      <c r="F462" s="13">
        <f>IF(OR(A462="",E462=""),"",IF(A462&gt;=Settings!$B$7,Settings!$B$6,Settings!$B$5))</f>
        <v/>
      </c>
      <c r="G462" s="7">
        <f>IF(F462="","",E462*F462)</f>
        <v/>
      </c>
      <c r="H462">
        <f>IF(A462="","",YEAR(A462))</f>
        <v/>
      </c>
    </row>
    <row r="463">
      <c r="A463" s="10" t="n"/>
      <c r="B463" s="9" t="n"/>
      <c r="C463" s="9" t="n"/>
      <c r="D463" s="9" t="n"/>
      <c r="E463" s="9" t="n"/>
      <c r="F463" s="13">
        <f>IF(OR(A463="",E463=""),"",IF(A463&gt;=Settings!$B$7,Settings!$B$6,Settings!$B$5))</f>
        <v/>
      </c>
      <c r="G463" s="7">
        <f>IF(F463="","",E463*F463)</f>
        <v/>
      </c>
      <c r="H463">
        <f>IF(A463="","",YEAR(A463))</f>
        <v/>
      </c>
    </row>
    <row r="464">
      <c r="A464" s="10" t="n"/>
      <c r="B464" s="9" t="n"/>
      <c r="C464" s="9" t="n"/>
      <c r="D464" s="9" t="n"/>
      <c r="E464" s="9" t="n"/>
      <c r="F464" s="13">
        <f>IF(OR(A464="",E464=""),"",IF(A464&gt;=Settings!$B$7,Settings!$B$6,Settings!$B$5))</f>
        <v/>
      </c>
      <c r="G464" s="7">
        <f>IF(F464="","",E464*F464)</f>
        <v/>
      </c>
      <c r="H464">
        <f>IF(A464="","",YEAR(A464))</f>
        <v/>
      </c>
    </row>
    <row r="465">
      <c r="A465" s="10" t="n"/>
      <c r="B465" s="9" t="n"/>
      <c r="C465" s="9" t="n"/>
      <c r="D465" s="9" t="n"/>
      <c r="E465" s="9" t="n"/>
      <c r="F465" s="13">
        <f>IF(OR(A465="",E465=""),"",IF(A465&gt;=Settings!$B$7,Settings!$B$6,Settings!$B$5))</f>
        <v/>
      </c>
      <c r="G465" s="7">
        <f>IF(F465="","",E465*F465)</f>
        <v/>
      </c>
      <c r="H465">
        <f>IF(A465="","",YEAR(A465))</f>
        <v/>
      </c>
    </row>
    <row r="466">
      <c r="A466" s="10" t="n"/>
      <c r="B466" s="9" t="n"/>
      <c r="C466" s="9" t="n"/>
      <c r="D466" s="9" t="n"/>
      <c r="E466" s="9" t="n"/>
      <c r="F466" s="13">
        <f>IF(OR(A466="",E466=""),"",IF(A466&gt;=Settings!$B$7,Settings!$B$6,Settings!$B$5))</f>
        <v/>
      </c>
      <c r="G466" s="7">
        <f>IF(F466="","",E466*F466)</f>
        <v/>
      </c>
      <c r="H466">
        <f>IF(A466="","",YEAR(A466))</f>
        <v/>
      </c>
    </row>
    <row r="467">
      <c r="A467" s="10" t="n"/>
      <c r="B467" s="9" t="n"/>
      <c r="C467" s="9" t="n"/>
      <c r="D467" s="9" t="n"/>
      <c r="E467" s="9" t="n"/>
      <c r="F467" s="13">
        <f>IF(OR(A467="",E467=""),"",IF(A467&gt;=Settings!$B$7,Settings!$B$6,Settings!$B$5))</f>
        <v/>
      </c>
      <c r="G467" s="7">
        <f>IF(F467="","",E467*F467)</f>
        <v/>
      </c>
      <c r="H467">
        <f>IF(A467="","",YEAR(A467))</f>
        <v/>
      </c>
    </row>
    <row r="468">
      <c r="A468" s="10" t="n"/>
      <c r="B468" s="9" t="n"/>
      <c r="C468" s="9" t="n"/>
      <c r="D468" s="9" t="n"/>
      <c r="E468" s="9" t="n"/>
      <c r="F468" s="13">
        <f>IF(OR(A468="",E468=""),"",IF(A468&gt;=Settings!$B$7,Settings!$B$6,Settings!$B$5))</f>
        <v/>
      </c>
      <c r="G468" s="7">
        <f>IF(F468="","",E468*F468)</f>
        <v/>
      </c>
      <c r="H468">
        <f>IF(A468="","",YEAR(A468))</f>
        <v/>
      </c>
    </row>
    <row r="469">
      <c r="A469" s="10" t="n"/>
      <c r="B469" s="9" t="n"/>
      <c r="C469" s="9" t="n"/>
      <c r="D469" s="9" t="n"/>
      <c r="E469" s="9" t="n"/>
      <c r="F469" s="13">
        <f>IF(OR(A469="",E469=""),"",IF(A469&gt;=Settings!$B$7,Settings!$B$6,Settings!$B$5))</f>
        <v/>
      </c>
      <c r="G469" s="7">
        <f>IF(F469="","",E469*F469)</f>
        <v/>
      </c>
      <c r="H469">
        <f>IF(A469="","",YEAR(A469))</f>
        <v/>
      </c>
    </row>
    <row r="470">
      <c r="A470" s="10" t="n"/>
      <c r="B470" s="9" t="n"/>
      <c r="C470" s="9" t="n"/>
      <c r="D470" s="9" t="n"/>
      <c r="E470" s="9" t="n"/>
      <c r="F470" s="13">
        <f>IF(OR(A470="",E470=""),"",IF(A470&gt;=Settings!$B$7,Settings!$B$6,Settings!$B$5))</f>
        <v/>
      </c>
      <c r="G470" s="7">
        <f>IF(F470="","",E470*F470)</f>
        <v/>
      </c>
      <c r="H470">
        <f>IF(A470="","",YEAR(A470))</f>
        <v/>
      </c>
    </row>
    <row r="471">
      <c r="A471" s="10" t="n"/>
      <c r="B471" s="9" t="n"/>
      <c r="C471" s="9" t="n"/>
      <c r="D471" s="9" t="n"/>
      <c r="E471" s="9" t="n"/>
      <c r="F471" s="13">
        <f>IF(OR(A471="",E471=""),"",IF(A471&gt;=Settings!$B$7,Settings!$B$6,Settings!$B$5))</f>
        <v/>
      </c>
      <c r="G471" s="7">
        <f>IF(F471="","",E471*F471)</f>
        <v/>
      </c>
      <c r="H471">
        <f>IF(A471="","",YEAR(A471))</f>
        <v/>
      </c>
    </row>
    <row r="472">
      <c r="A472" s="10" t="n"/>
      <c r="B472" s="9" t="n"/>
      <c r="C472" s="9" t="n"/>
      <c r="D472" s="9" t="n"/>
      <c r="E472" s="9" t="n"/>
      <c r="F472" s="13">
        <f>IF(OR(A472="",E472=""),"",IF(A472&gt;=Settings!$B$7,Settings!$B$6,Settings!$B$5))</f>
        <v/>
      </c>
      <c r="G472" s="7">
        <f>IF(F472="","",E472*F472)</f>
        <v/>
      </c>
      <c r="H472">
        <f>IF(A472="","",YEAR(A472))</f>
        <v/>
      </c>
    </row>
    <row r="473">
      <c r="A473" s="10" t="n"/>
      <c r="B473" s="9" t="n"/>
      <c r="C473" s="9" t="n"/>
      <c r="D473" s="9" t="n"/>
      <c r="E473" s="9" t="n"/>
      <c r="F473" s="13">
        <f>IF(OR(A473="",E473=""),"",IF(A473&gt;=Settings!$B$7,Settings!$B$6,Settings!$B$5))</f>
        <v/>
      </c>
      <c r="G473" s="7">
        <f>IF(F473="","",E473*F473)</f>
        <v/>
      </c>
      <c r="H473">
        <f>IF(A473="","",YEAR(A473))</f>
        <v/>
      </c>
    </row>
    <row r="474">
      <c r="A474" s="10" t="n"/>
      <c r="B474" s="9" t="n"/>
      <c r="C474" s="9" t="n"/>
      <c r="D474" s="9" t="n"/>
      <c r="E474" s="9" t="n"/>
      <c r="F474" s="13">
        <f>IF(OR(A474="",E474=""),"",IF(A474&gt;=Settings!$B$7,Settings!$B$6,Settings!$B$5))</f>
        <v/>
      </c>
      <c r="G474" s="7">
        <f>IF(F474="","",E474*F474)</f>
        <v/>
      </c>
      <c r="H474">
        <f>IF(A474="","",YEAR(A474))</f>
        <v/>
      </c>
    </row>
    <row r="475">
      <c r="A475" s="10" t="n"/>
      <c r="B475" s="9" t="n"/>
      <c r="C475" s="9" t="n"/>
      <c r="D475" s="9" t="n"/>
      <c r="E475" s="9" t="n"/>
      <c r="F475" s="13">
        <f>IF(OR(A475="",E475=""),"",IF(A475&gt;=Settings!$B$7,Settings!$B$6,Settings!$B$5))</f>
        <v/>
      </c>
      <c r="G475" s="7">
        <f>IF(F475="","",E475*F475)</f>
        <v/>
      </c>
      <c r="H475">
        <f>IF(A475="","",YEAR(A475))</f>
        <v/>
      </c>
    </row>
    <row r="476">
      <c r="A476" s="10" t="n"/>
      <c r="B476" s="9" t="n"/>
      <c r="C476" s="9" t="n"/>
      <c r="D476" s="9" t="n"/>
      <c r="E476" s="9" t="n"/>
      <c r="F476" s="13">
        <f>IF(OR(A476="",E476=""),"",IF(A476&gt;=Settings!$B$7,Settings!$B$6,Settings!$B$5))</f>
        <v/>
      </c>
      <c r="G476" s="7">
        <f>IF(F476="","",E476*F476)</f>
        <v/>
      </c>
      <c r="H476">
        <f>IF(A476="","",YEAR(A476))</f>
        <v/>
      </c>
    </row>
    <row r="477">
      <c r="A477" s="10" t="n"/>
      <c r="B477" s="9" t="n"/>
      <c r="C477" s="9" t="n"/>
      <c r="D477" s="9" t="n"/>
      <c r="E477" s="9" t="n"/>
      <c r="F477" s="13">
        <f>IF(OR(A477="",E477=""),"",IF(A477&gt;=Settings!$B$7,Settings!$B$6,Settings!$B$5))</f>
        <v/>
      </c>
      <c r="G477" s="7">
        <f>IF(F477="","",E477*F477)</f>
        <v/>
      </c>
      <c r="H477">
        <f>IF(A477="","",YEAR(A477))</f>
        <v/>
      </c>
    </row>
    <row r="478">
      <c r="A478" s="10" t="n"/>
      <c r="B478" s="9" t="n"/>
      <c r="C478" s="9" t="n"/>
      <c r="D478" s="9" t="n"/>
      <c r="E478" s="9" t="n"/>
      <c r="F478" s="13">
        <f>IF(OR(A478="",E478=""),"",IF(A478&gt;=Settings!$B$7,Settings!$B$6,Settings!$B$5))</f>
        <v/>
      </c>
      <c r="G478" s="7">
        <f>IF(F478="","",E478*F478)</f>
        <v/>
      </c>
      <c r="H478">
        <f>IF(A478="","",YEAR(A478))</f>
        <v/>
      </c>
    </row>
    <row r="479">
      <c r="A479" s="10" t="n"/>
      <c r="B479" s="9" t="n"/>
      <c r="C479" s="9" t="n"/>
      <c r="D479" s="9" t="n"/>
      <c r="E479" s="9" t="n"/>
      <c r="F479" s="13">
        <f>IF(OR(A479="",E479=""),"",IF(A479&gt;=Settings!$B$7,Settings!$B$6,Settings!$B$5))</f>
        <v/>
      </c>
      <c r="G479" s="7">
        <f>IF(F479="","",E479*F479)</f>
        <v/>
      </c>
      <c r="H479">
        <f>IF(A479="","",YEAR(A479))</f>
        <v/>
      </c>
    </row>
    <row r="480">
      <c r="A480" s="10" t="n"/>
      <c r="B480" s="9" t="n"/>
      <c r="C480" s="9" t="n"/>
      <c r="D480" s="9" t="n"/>
      <c r="E480" s="9" t="n"/>
      <c r="F480" s="13">
        <f>IF(OR(A480="",E480=""),"",IF(A480&gt;=Settings!$B$7,Settings!$B$6,Settings!$B$5))</f>
        <v/>
      </c>
      <c r="G480" s="7">
        <f>IF(F480="","",E480*F480)</f>
        <v/>
      </c>
      <c r="H480">
        <f>IF(A480="","",YEAR(A480))</f>
        <v/>
      </c>
    </row>
    <row r="481">
      <c r="A481" s="10" t="n"/>
      <c r="B481" s="9" t="n"/>
      <c r="C481" s="9" t="n"/>
      <c r="D481" s="9" t="n"/>
      <c r="E481" s="9" t="n"/>
      <c r="F481" s="13">
        <f>IF(OR(A481="",E481=""),"",IF(A481&gt;=Settings!$B$7,Settings!$B$6,Settings!$B$5))</f>
        <v/>
      </c>
      <c r="G481" s="7">
        <f>IF(F481="","",E481*F481)</f>
        <v/>
      </c>
      <c r="H481">
        <f>IF(A481="","",YEAR(A481))</f>
        <v/>
      </c>
    </row>
    <row r="482">
      <c r="A482" s="10" t="n"/>
      <c r="B482" s="9" t="n"/>
      <c r="C482" s="9" t="n"/>
      <c r="D482" s="9" t="n"/>
      <c r="E482" s="9" t="n"/>
      <c r="F482" s="13">
        <f>IF(OR(A482="",E482=""),"",IF(A482&gt;=Settings!$B$7,Settings!$B$6,Settings!$B$5))</f>
        <v/>
      </c>
      <c r="G482" s="7">
        <f>IF(F482="","",E482*F482)</f>
        <v/>
      </c>
      <c r="H482">
        <f>IF(A482="","",YEAR(A482))</f>
        <v/>
      </c>
    </row>
    <row r="483">
      <c r="A483" s="10" t="n"/>
      <c r="B483" s="9" t="n"/>
      <c r="C483" s="9" t="n"/>
      <c r="D483" s="9" t="n"/>
      <c r="E483" s="9" t="n"/>
      <c r="F483" s="13">
        <f>IF(OR(A483="",E483=""),"",IF(A483&gt;=Settings!$B$7,Settings!$B$6,Settings!$B$5))</f>
        <v/>
      </c>
      <c r="G483" s="7">
        <f>IF(F483="","",E483*F483)</f>
        <v/>
      </c>
      <c r="H483">
        <f>IF(A483="","",YEAR(A483))</f>
        <v/>
      </c>
    </row>
    <row r="484">
      <c r="A484" s="10" t="n"/>
      <c r="B484" s="9" t="n"/>
      <c r="C484" s="9" t="n"/>
      <c r="D484" s="9" t="n"/>
      <c r="E484" s="9" t="n"/>
      <c r="F484" s="13">
        <f>IF(OR(A484="",E484=""),"",IF(A484&gt;=Settings!$B$7,Settings!$B$6,Settings!$B$5))</f>
        <v/>
      </c>
      <c r="G484" s="7">
        <f>IF(F484="","",E484*F484)</f>
        <v/>
      </c>
      <c r="H484">
        <f>IF(A484="","",YEAR(A484))</f>
        <v/>
      </c>
    </row>
    <row r="485">
      <c r="A485" s="10" t="n"/>
      <c r="B485" s="9" t="n"/>
      <c r="C485" s="9" t="n"/>
      <c r="D485" s="9" t="n"/>
      <c r="E485" s="9" t="n"/>
      <c r="F485" s="13">
        <f>IF(OR(A485="",E485=""),"",IF(A485&gt;=Settings!$B$7,Settings!$B$6,Settings!$B$5))</f>
        <v/>
      </c>
      <c r="G485" s="7">
        <f>IF(F485="","",E485*F485)</f>
        <v/>
      </c>
      <c r="H485">
        <f>IF(A485="","",YEAR(A485))</f>
        <v/>
      </c>
    </row>
    <row r="486">
      <c r="A486" s="10" t="n"/>
      <c r="B486" s="9" t="n"/>
      <c r="C486" s="9" t="n"/>
      <c r="D486" s="9" t="n"/>
      <c r="E486" s="9" t="n"/>
      <c r="F486" s="13">
        <f>IF(OR(A486="",E486=""),"",IF(A486&gt;=Settings!$B$7,Settings!$B$6,Settings!$B$5))</f>
        <v/>
      </c>
      <c r="G486" s="7">
        <f>IF(F486="","",E486*F486)</f>
        <v/>
      </c>
      <c r="H486">
        <f>IF(A486="","",YEAR(A486))</f>
        <v/>
      </c>
    </row>
    <row r="487">
      <c r="A487" s="10" t="n"/>
      <c r="B487" s="9" t="n"/>
      <c r="C487" s="9" t="n"/>
      <c r="D487" s="9" t="n"/>
      <c r="E487" s="9" t="n"/>
      <c r="F487" s="13">
        <f>IF(OR(A487="",E487=""),"",IF(A487&gt;=Settings!$B$7,Settings!$B$6,Settings!$B$5))</f>
        <v/>
      </c>
      <c r="G487" s="7">
        <f>IF(F487="","",E487*F487)</f>
        <v/>
      </c>
      <c r="H487">
        <f>IF(A487="","",YEAR(A487))</f>
        <v/>
      </c>
    </row>
    <row r="488">
      <c r="A488" s="10" t="n"/>
      <c r="B488" s="9" t="n"/>
      <c r="C488" s="9" t="n"/>
      <c r="D488" s="9" t="n"/>
      <c r="E488" s="9" t="n"/>
      <c r="F488" s="13">
        <f>IF(OR(A488="",E488=""),"",IF(A488&gt;=Settings!$B$7,Settings!$B$6,Settings!$B$5))</f>
        <v/>
      </c>
      <c r="G488" s="7">
        <f>IF(F488="","",E488*F488)</f>
        <v/>
      </c>
      <c r="H488">
        <f>IF(A488="","",YEAR(A488))</f>
        <v/>
      </c>
    </row>
    <row r="489">
      <c r="A489" s="10" t="n"/>
      <c r="B489" s="9" t="n"/>
      <c r="C489" s="9" t="n"/>
      <c r="D489" s="9" t="n"/>
      <c r="E489" s="9" t="n"/>
      <c r="F489" s="13">
        <f>IF(OR(A489="",E489=""),"",IF(A489&gt;=Settings!$B$7,Settings!$B$6,Settings!$B$5))</f>
        <v/>
      </c>
      <c r="G489" s="7">
        <f>IF(F489="","",E489*F489)</f>
        <v/>
      </c>
      <c r="H489">
        <f>IF(A489="","",YEAR(A489))</f>
        <v/>
      </c>
    </row>
    <row r="490">
      <c r="A490" s="10" t="n"/>
      <c r="B490" s="9" t="n"/>
      <c r="C490" s="9" t="n"/>
      <c r="D490" s="9" t="n"/>
      <c r="E490" s="9" t="n"/>
      <c r="F490" s="13">
        <f>IF(OR(A490="",E490=""),"",IF(A490&gt;=Settings!$B$7,Settings!$B$6,Settings!$B$5))</f>
        <v/>
      </c>
      <c r="G490" s="7">
        <f>IF(F490="","",E490*F490)</f>
        <v/>
      </c>
      <c r="H490">
        <f>IF(A490="","",YEAR(A490))</f>
        <v/>
      </c>
    </row>
    <row r="491">
      <c r="A491" s="10" t="n"/>
      <c r="B491" s="9" t="n"/>
      <c r="C491" s="9" t="n"/>
      <c r="D491" s="9" t="n"/>
      <c r="E491" s="9" t="n"/>
      <c r="F491" s="13">
        <f>IF(OR(A491="",E491=""),"",IF(A491&gt;=Settings!$B$7,Settings!$B$6,Settings!$B$5))</f>
        <v/>
      </c>
      <c r="G491" s="7">
        <f>IF(F491="","",E491*F491)</f>
        <v/>
      </c>
      <c r="H491">
        <f>IF(A491="","",YEAR(A491))</f>
        <v/>
      </c>
    </row>
    <row r="492">
      <c r="A492" s="10" t="n"/>
      <c r="B492" s="9" t="n"/>
      <c r="C492" s="9" t="n"/>
      <c r="D492" s="9" t="n"/>
      <c r="E492" s="9" t="n"/>
      <c r="F492" s="13">
        <f>IF(OR(A492="",E492=""),"",IF(A492&gt;=Settings!$B$7,Settings!$B$6,Settings!$B$5))</f>
        <v/>
      </c>
      <c r="G492" s="7">
        <f>IF(F492="","",E492*F492)</f>
        <v/>
      </c>
      <c r="H492">
        <f>IF(A492="","",YEAR(A492))</f>
        <v/>
      </c>
    </row>
    <row r="493">
      <c r="A493" s="10" t="n"/>
      <c r="B493" s="9" t="n"/>
      <c r="C493" s="9" t="n"/>
      <c r="D493" s="9" t="n"/>
      <c r="E493" s="9" t="n"/>
      <c r="F493" s="13">
        <f>IF(OR(A493="",E493=""),"",IF(A493&gt;=Settings!$B$7,Settings!$B$6,Settings!$B$5))</f>
        <v/>
      </c>
      <c r="G493" s="7">
        <f>IF(F493="","",E493*F493)</f>
        <v/>
      </c>
      <c r="H493">
        <f>IF(A493="","",YEAR(A493))</f>
        <v/>
      </c>
    </row>
    <row r="494">
      <c r="A494" s="10" t="n"/>
      <c r="B494" s="9" t="n"/>
      <c r="C494" s="9" t="n"/>
      <c r="D494" s="9" t="n"/>
      <c r="E494" s="9" t="n"/>
      <c r="F494" s="13">
        <f>IF(OR(A494="",E494=""),"",IF(A494&gt;=Settings!$B$7,Settings!$B$6,Settings!$B$5))</f>
        <v/>
      </c>
      <c r="G494" s="7">
        <f>IF(F494="","",E494*F494)</f>
        <v/>
      </c>
      <c r="H494">
        <f>IF(A494="","",YEAR(A494))</f>
        <v/>
      </c>
    </row>
    <row r="495">
      <c r="A495" s="10" t="n"/>
      <c r="B495" s="9" t="n"/>
      <c r="C495" s="9" t="n"/>
      <c r="D495" s="9" t="n"/>
      <c r="E495" s="9" t="n"/>
      <c r="F495" s="13">
        <f>IF(OR(A495="",E495=""),"",IF(A495&gt;=Settings!$B$7,Settings!$B$6,Settings!$B$5))</f>
        <v/>
      </c>
      <c r="G495" s="7">
        <f>IF(F495="","",E495*F495)</f>
        <v/>
      </c>
      <c r="H495">
        <f>IF(A495="","",YEAR(A495))</f>
        <v/>
      </c>
    </row>
    <row r="496">
      <c r="A496" s="10" t="n"/>
      <c r="B496" s="9" t="n"/>
      <c r="C496" s="9" t="n"/>
      <c r="D496" s="9" t="n"/>
      <c r="E496" s="9" t="n"/>
      <c r="F496" s="13">
        <f>IF(OR(A496="",E496=""),"",IF(A496&gt;=Settings!$B$7,Settings!$B$6,Settings!$B$5))</f>
        <v/>
      </c>
      <c r="G496" s="7">
        <f>IF(F496="","",E496*F496)</f>
        <v/>
      </c>
      <c r="H496">
        <f>IF(A496="","",YEAR(A496))</f>
        <v/>
      </c>
    </row>
    <row r="497">
      <c r="A497" s="10" t="n"/>
      <c r="B497" s="9" t="n"/>
      <c r="C497" s="9" t="n"/>
      <c r="D497" s="9" t="n"/>
      <c r="E497" s="9" t="n"/>
      <c r="F497" s="13">
        <f>IF(OR(A497="",E497=""),"",IF(A497&gt;=Settings!$B$7,Settings!$B$6,Settings!$B$5))</f>
        <v/>
      </c>
      <c r="G497" s="7">
        <f>IF(F497="","",E497*F497)</f>
        <v/>
      </c>
      <c r="H497">
        <f>IF(A497="","",YEAR(A497))</f>
        <v/>
      </c>
    </row>
    <row r="498">
      <c r="A498" s="10" t="n"/>
      <c r="B498" s="9" t="n"/>
      <c r="C498" s="9" t="n"/>
      <c r="D498" s="9" t="n"/>
      <c r="E498" s="9" t="n"/>
      <c r="F498" s="13">
        <f>IF(OR(A498="",E498=""),"",IF(A498&gt;=Settings!$B$7,Settings!$B$6,Settings!$B$5))</f>
        <v/>
      </c>
      <c r="G498" s="7">
        <f>IF(F498="","",E498*F498)</f>
        <v/>
      </c>
      <c r="H498">
        <f>IF(A498="","",YEAR(A498))</f>
        <v/>
      </c>
    </row>
    <row r="499">
      <c r="A499" s="10" t="n"/>
      <c r="B499" s="9" t="n"/>
      <c r="C499" s="9" t="n"/>
      <c r="D499" s="9" t="n"/>
      <c r="E499" s="9" t="n"/>
      <c r="F499" s="13">
        <f>IF(OR(A499="",E499=""),"",IF(A499&gt;=Settings!$B$7,Settings!$B$6,Settings!$B$5))</f>
        <v/>
      </c>
      <c r="G499" s="7">
        <f>IF(F499="","",E499*F499)</f>
        <v/>
      </c>
      <c r="H499">
        <f>IF(A499="","",YEAR(A499))</f>
        <v/>
      </c>
    </row>
    <row r="500">
      <c r="A500" s="10" t="n"/>
      <c r="B500" s="9" t="n"/>
      <c r="C500" s="9" t="n"/>
      <c r="D500" s="9" t="n"/>
      <c r="E500" s="9" t="n"/>
      <c r="F500" s="13">
        <f>IF(OR(A500="",E500=""),"",IF(A500&gt;=Settings!$B$7,Settings!$B$6,Settings!$B$5))</f>
        <v/>
      </c>
      <c r="G500" s="7">
        <f>IF(F500="","",E500*F500)</f>
        <v/>
      </c>
      <c r="H500">
        <f>IF(A500="","",YEAR(A500))</f>
        <v/>
      </c>
    </row>
    <row r="501">
      <c r="A501" s="10" t="n"/>
      <c r="B501" s="9" t="n"/>
      <c r="C501" s="9" t="n"/>
      <c r="D501" s="9" t="n"/>
      <c r="E501" s="9" t="n"/>
      <c r="F501" s="13">
        <f>IF(OR(A501="",E501=""),"",IF(A501&gt;=Settings!$B$7,Settings!$B$6,Settings!$B$5))</f>
        <v/>
      </c>
      <c r="G501" s="7">
        <f>IF(F501="","",E501*F501)</f>
        <v/>
      </c>
      <c r="H501">
        <f>IF(A501="","",YEAR(A501))</f>
        <v/>
      </c>
    </row>
    <row r="502">
      <c r="A502" s="10" t="n"/>
      <c r="B502" s="9" t="n"/>
      <c r="C502" s="9" t="n"/>
      <c r="D502" s="9" t="n"/>
      <c r="E502" s="9" t="n"/>
      <c r="F502" s="13">
        <f>IF(OR(A502="",E502=""),"",IF(A502&gt;=Settings!$B$7,Settings!$B$6,Settings!$B$5))</f>
        <v/>
      </c>
      <c r="G502" s="7">
        <f>IF(F502="","",E502*F502)</f>
        <v/>
      </c>
      <c r="H502">
        <f>IF(A502="","",YEAR(A502))</f>
        <v/>
      </c>
    </row>
    <row r="503">
      <c r="A503" s="10" t="n"/>
      <c r="B503" s="9" t="n"/>
      <c r="C503" s="9" t="n"/>
      <c r="D503" s="9" t="n"/>
      <c r="E503" s="9" t="n"/>
      <c r="F503" s="13">
        <f>IF(OR(A503="",E503=""),"",IF(A503&gt;=Settings!$B$7,Settings!$B$6,Settings!$B$5))</f>
        <v/>
      </c>
      <c r="G503" s="7">
        <f>IF(F503="","",E503*F503)</f>
        <v/>
      </c>
      <c r="H503">
        <f>IF(A503="","",YEAR(A503))</f>
        <v/>
      </c>
    </row>
    <row r="504">
      <c r="A504" s="10" t="n"/>
      <c r="B504" s="9" t="n"/>
      <c r="C504" s="9" t="n"/>
      <c r="D504" s="9" t="n"/>
      <c r="E504" s="9" t="n"/>
      <c r="F504" s="13">
        <f>IF(OR(A504="",E504=""),"",IF(A504&gt;=Settings!$B$7,Settings!$B$6,Settings!$B$5))</f>
        <v/>
      </c>
      <c r="G504" s="7">
        <f>IF(F504="","",E504*F504)</f>
        <v/>
      </c>
      <c r="H504">
        <f>IF(A504="","",YEAR(A504))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3" customWidth="1" min="4" max="4"/>
    <col width="14" customWidth="1" min="5" max="5"/>
    <col width="14" customWidth="1" min="6" max="6"/>
    <col width="14" customWidth="1" min="7" max="7"/>
    <col width="8" customWidth="1" min="8" max="8"/>
  </cols>
  <sheetData>
    <row r="1">
      <c r="A1" s="1" t="inlineStr">
        <is>
          <t>Deduction log</t>
        </is>
      </c>
    </row>
    <row r="2">
      <c r="A2" s="8" t="inlineStr">
        <is>
          <t>Every business cost you might deduct. Receipt column = Y/N so you can find gaps.</t>
        </is>
      </c>
    </row>
    <row r="4" ht="30" customHeight="1">
      <c r="A4" s="12" t="inlineStr">
        <is>
          <t>Date</t>
        </is>
      </c>
      <c r="B4" s="12" t="inlineStr">
        <is>
          <t>Item</t>
        </is>
      </c>
      <c r="C4" s="12" t="inlineStr">
        <is>
          <t>Category</t>
        </is>
      </c>
      <c r="D4" s="12" t="inlineStr">
        <is>
          <t>Amount</t>
        </is>
      </c>
      <c r="E4" s="12" t="inlineStr">
        <is>
          <t>Business use %</t>
        </is>
      </c>
      <c r="F4" s="12" t="inlineStr">
        <is>
          <t>Deductible</t>
        </is>
      </c>
      <c r="G4" s="12" t="inlineStr">
        <is>
          <t>Receipt saved?</t>
        </is>
      </c>
      <c r="H4" s="12" t="inlineStr">
        <is>
          <t>Year</t>
        </is>
      </c>
    </row>
    <row r="5">
      <c r="A5" s="10" t="n">
        <v>46027</v>
      </c>
      <c r="B5" s="9" t="inlineStr">
        <is>
          <t>Laptop stand</t>
        </is>
      </c>
      <c r="C5" s="9" t="inlineStr">
        <is>
          <t>Equipment &amp; Hardware</t>
        </is>
      </c>
      <c r="D5" s="14" t="n">
        <v>100</v>
      </c>
      <c r="E5" s="11" t="n"/>
      <c r="F5" s="14">
        <f>IF(OR(A5="",D5=""),"",D5*IF(E5="",1,E5))</f>
        <v/>
      </c>
      <c r="G5" s="9" t="inlineStr">
        <is>
          <t>Y</t>
        </is>
      </c>
      <c r="H5">
        <f>IF(A5="","",YEAR(A5))</f>
        <v/>
      </c>
    </row>
    <row r="6">
      <c r="A6" s="10" t="n">
        <v>46062</v>
      </c>
      <c r="B6" s="9" t="inlineStr">
        <is>
          <t>Phone plan</t>
        </is>
      </c>
      <c r="C6" s="9" t="inlineStr">
        <is>
          <t>Internet &amp; Phone</t>
        </is>
      </c>
      <c r="D6" s="14" t="n">
        <v>600</v>
      </c>
      <c r="E6" s="11" t="n">
        <v>0.5</v>
      </c>
      <c r="F6" s="14">
        <f>IF(OR(A6="",D6=""),"",D6*IF(E6="",1,E6))</f>
        <v/>
      </c>
      <c r="G6" s="9" t="inlineStr">
        <is>
          <t>N</t>
        </is>
      </c>
      <c r="H6">
        <f>IF(A6="","",YEAR(A6))</f>
        <v/>
      </c>
    </row>
    <row r="7">
      <c r="A7" s="10" t="n">
        <v>46082</v>
      </c>
      <c r="B7" s="9" t="inlineStr">
        <is>
          <t>Online course</t>
        </is>
      </c>
      <c r="C7" s="9" t="inlineStr">
        <is>
          <t>Education &amp; Training</t>
        </is>
      </c>
      <c r="D7" s="14" t="n">
        <v>250</v>
      </c>
      <c r="E7" s="11" t="n"/>
      <c r="F7" s="14">
        <f>IF(OR(A7="",D7=""),"",D7*IF(E7="",1,E7))</f>
        <v/>
      </c>
      <c r="G7" s="9" t="inlineStr">
        <is>
          <t>Y</t>
        </is>
      </c>
      <c r="H7">
        <f>IF(A7="","",YEAR(A7))</f>
        <v/>
      </c>
    </row>
    <row r="8">
      <c r="A8" s="10" t="n"/>
      <c r="B8" s="9" t="n"/>
      <c r="C8" s="9" t="n"/>
      <c r="D8" s="14" t="n"/>
      <c r="E8" s="11" t="n"/>
      <c r="F8" s="14">
        <f>IF(OR(A8="",D8=""),"",D8*IF(E8="",1,E8))</f>
        <v/>
      </c>
      <c r="G8" s="9" t="n"/>
      <c r="H8">
        <f>IF(A8="","",YEAR(A8))</f>
        <v/>
      </c>
    </row>
    <row r="9">
      <c r="A9" s="10" t="n"/>
      <c r="B9" s="9" t="n"/>
      <c r="C9" s="9" t="n"/>
      <c r="D9" s="14" t="n"/>
      <c r="E9" s="11" t="n"/>
      <c r="F9" s="14">
        <f>IF(OR(A9="",D9=""),"",D9*IF(E9="",1,E9))</f>
        <v/>
      </c>
      <c r="G9" s="9" t="n"/>
      <c r="H9">
        <f>IF(A9="","",YEAR(A9))</f>
        <v/>
      </c>
    </row>
    <row r="10">
      <c r="A10" s="10" t="n"/>
      <c r="B10" s="9" t="n"/>
      <c r="C10" s="9" t="n"/>
      <c r="D10" s="14" t="n"/>
      <c r="E10" s="11" t="n"/>
      <c r="F10" s="14">
        <f>IF(OR(A10="",D10=""),"",D10*IF(E10="",1,E10))</f>
        <v/>
      </c>
      <c r="G10" s="9" t="n"/>
      <c r="H10">
        <f>IF(A10="","",YEAR(A10))</f>
        <v/>
      </c>
    </row>
    <row r="11">
      <c r="A11" s="10" t="n"/>
      <c r="B11" s="9" t="n"/>
      <c r="C11" s="9" t="n"/>
      <c r="D11" s="14" t="n"/>
      <c r="E11" s="11" t="n"/>
      <c r="F11" s="14">
        <f>IF(OR(A11="",D11=""),"",D11*IF(E11="",1,E11))</f>
        <v/>
      </c>
      <c r="G11" s="9" t="n"/>
      <c r="H11">
        <f>IF(A11="","",YEAR(A11))</f>
        <v/>
      </c>
    </row>
    <row r="12">
      <c r="A12" s="10" t="n"/>
      <c r="B12" s="9" t="n"/>
      <c r="C12" s="9" t="n"/>
      <c r="D12" s="14" t="n"/>
      <c r="E12" s="11" t="n"/>
      <c r="F12" s="14">
        <f>IF(OR(A12="",D12=""),"",D12*IF(E12="",1,E12))</f>
        <v/>
      </c>
      <c r="G12" s="9" t="n"/>
      <c r="H12">
        <f>IF(A12="","",YEAR(A12))</f>
        <v/>
      </c>
    </row>
    <row r="13">
      <c r="A13" s="10" t="n"/>
      <c r="B13" s="9" t="n"/>
      <c r="C13" s="9" t="n"/>
      <c r="D13" s="14" t="n"/>
      <c r="E13" s="11" t="n"/>
      <c r="F13" s="14">
        <f>IF(OR(A13="",D13=""),"",D13*IF(E13="",1,E13))</f>
        <v/>
      </c>
      <c r="G13" s="9" t="n"/>
      <c r="H13">
        <f>IF(A13="","",YEAR(A13))</f>
        <v/>
      </c>
    </row>
    <row r="14">
      <c r="A14" s="10" t="n"/>
      <c r="B14" s="9" t="n"/>
      <c r="C14" s="9" t="n"/>
      <c r="D14" s="14" t="n"/>
      <c r="E14" s="11" t="n"/>
      <c r="F14" s="14">
        <f>IF(OR(A14="",D14=""),"",D14*IF(E14="",1,E14))</f>
        <v/>
      </c>
      <c r="G14" s="9" t="n"/>
      <c r="H14">
        <f>IF(A14="","",YEAR(A14))</f>
        <v/>
      </c>
    </row>
    <row r="15">
      <c r="A15" s="10" t="n"/>
      <c r="B15" s="9" t="n"/>
      <c r="C15" s="9" t="n"/>
      <c r="D15" s="14" t="n"/>
      <c r="E15" s="11" t="n"/>
      <c r="F15" s="14">
        <f>IF(OR(A15="",D15=""),"",D15*IF(E15="",1,E15))</f>
        <v/>
      </c>
      <c r="G15" s="9" t="n"/>
      <c r="H15">
        <f>IF(A15="","",YEAR(A15))</f>
        <v/>
      </c>
    </row>
    <row r="16">
      <c r="A16" s="10" t="n"/>
      <c r="B16" s="9" t="n"/>
      <c r="C16" s="9" t="n"/>
      <c r="D16" s="14" t="n"/>
      <c r="E16" s="11" t="n"/>
      <c r="F16" s="14">
        <f>IF(OR(A16="",D16=""),"",D16*IF(E16="",1,E16))</f>
        <v/>
      </c>
      <c r="G16" s="9" t="n"/>
      <c r="H16">
        <f>IF(A16="","",YEAR(A16))</f>
        <v/>
      </c>
    </row>
    <row r="17">
      <c r="A17" s="10" t="n"/>
      <c r="B17" s="9" t="n"/>
      <c r="C17" s="9" t="n"/>
      <c r="D17" s="14" t="n"/>
      <c r="E17" s="11" t="n"/>
      <c r="F17" s="14">
        <f>IF(OR(A17="",D17=""),"",D17*IF(E17="",1,E17))</f>
        <v/>
      </c>
      <c r="G17" s="9" t="n"/>
      <c r="H17">
        <f>IF(A17="","",YEAR(A17))</f>
        <v/>
      </c>
    </row>
    <row r="18">
      <c r="A18" s="10" t="n"/>
      <c r="B18" s="9" t="n"/>
      <c r="C18" s="9" t="n"/>
      <c r="D18" s="14" t="n"/>
      <c r="E18" s="11" t="n"/>
      <c r="F18" s="14">
        <f>IF(OR(A18="",D18=""),"",D18*IF(E18="",1,E18))</f>
        <v/>
      </c>
      <c r="G18" s="9" t="n"/>
      <c r="H18">
        <f>IF(A18="","",YEAR(A18))</f>
        <v/>
      </c>
    </row>
    <row r="19">
      <c r="A19" s="10" t="n"/>
      <c r="B19" s="9" t="n"/>
      <c r="C19" s="9" t="n"/>
      <c r="D19" s="14" t="n"/>
      <c r="E19" s="11" t="n"/>
      <c r="F19" s="14">
        <f>IF(OR(A19="",D19=""),"",D19*IF(E19="",1,E19))</f>
        <v/>
      </c>
      <c r="G19" s="9" t="n"/>
      <c r="H19">
        <f>IF(A19="","",YEAR(A19))</f>
        <v/>
      </c>
    </row>
    <row r="20">
      <c r="A20" s="10" t="n"/>
      <c r="B20" s="9" t="n"/>
      <c r="C20" s="9" t="n"/>
      <c r="D20" s="14" t="n"/>
      <c r="E20" s="11" t="n"/>
      <c r="F20" s="14">
        <f>IF(OR(A20="",D20=""),"",D20*IF(E20="",1,E20))</f>
        <v/>
      </c>
      <c r="G20" s="9" t="n"/>
      <c r="H20">
        <f>IF(A20="","",YEAR(A20))</f>
        <v/>
      </c>
    </row>
    <row r="21">
      <c r="A21" s="10" t="n"/>
      <c r="B21" s="9" t="n"/>
      <c r="C21" s="9" t="n"/>
      <c r="D21" s="14" t="n"/>
      <c r="E21" s="11" t="n"/>
      <c r="F21" s="14">
        <f>IF(OR(A21="",D21=""),"",D21*IF(E21="",1,E21))</f>
        <v/>
      </c>
      <c r="G21" s="9" t="n"/>
      <c r="H21">
        <f>IF(A21="","",YEAR(A21))</f>
        <v/>
      </c>
    </row>
    <row r="22">
      <c r="A22" s="10" t="n"/>
      <c r="B22" s="9" t="n"/>
      <c r="C22" s="9" t="n"/>
      <c r="D22" s="14" t="n"/>
      <c r="E22" s="11" t="n"/>
      <c r="F22" s="14">
        <f>IF(OR(A22="",D22=""),"",D22*IF(E22="",1,E22))</f>
        <v/>
      </c>
      <c r="G22" s="9" t="n"/>
      <c r="H22">
        <f>IF(A22="","",YEAR(A22))</f>
        <v/>
      </c>
    </row>
    <row r="23">
      <c r="A23" s="10" t="n"/>
      <c r="B23" s="9" t="n"/>
      <c r="C23" s="9" t="n"/>
      <c r="D23" s="14" t="n"/>
      <c r="E23" s="11" t="n"/>
      <c r="F23" s="14">
        <f>IF(OR(A23="",D23=""),"",D23*IF(E23="",1,E23))</f>
        <v/>
      </c>
      <c r="G23" s="9" t="n"/>
      <c r="H23">
        <f>IF(A23="","",YEAR(A23))</f>
        <v/>
      </c>
    </row>
    <row r="24">
      <c r="A24" s="10" t="n"/>
      <c r="B24" s="9" t="n"/>
      <c r="C24" s="9" t="n"/>
      <c r="D24" s="14" t="n"/>
      <c r="E24" s="11" t="n"/>
      <c r="F24" s="14">
        <f>IF(OR(A24="",D24=""),"",D24*IF(E24="",1,E24))</f>
        <v/>
      </c>
      <c r="G24" s="9" t="n"/>
      <c r="H24">
        <f>IF(A24="","",YEAR(A24))</f>
        <v/>
      </c>
    </row>
    <row r="25">
      <c r="A25" s="10" t="n"/>
      <c r="B25" s="9" t="n"/>
      <c r="C25" s="9" t="n"/>
      <c r="D25" s="14" t="n"/>
      <c r="E25" s="11" t="n"/>
      <c r="F25" s="14">
        <f>IF(OR(A25="",D25=""),"",D25*IF(E25="",1,E25))</f>
        <v/>
      </c>
      <c r="G25" s="9" t="n"/>
      <c r="H25">
        <f>IF(A25="","",YEAR(A25))</f>
        <v/>
      </c>
    </row>
    <row r="26">
      <c r="A26" s="10" t="n"/>
      <c r="B26" s="9" t="n"/>
      <c r="C26" s="9" t="n"/>
      <c r="D26" s="14" t="n"/>
      <c r="E26" s="11" t="n"/>
      <c r="F26" s="14">
        <f>IF(OR(A26="",D26=""),"",D26*IF(E26="",1,E26))</f>
        <v/>
      </c>
      <c r="G26" s="9" t="n"/>
      <c r="H26">
        <f>IF(A26="","",YEAR(A26))</f>
        <v/>
      </c>
    </row>
    <row r="27">
      <c r="A27" s="10" t="n"/>
      <c r="B27" s="9" t="n"/>
      <c r="C27" s="9" t="n"/>
      <c r="D27" s="14" t="n"/>
      <c r="E27" s="11" t="n"/>
      <c r="F27" s="14">
        <f>IF(OR(A27="",D27=""),"",D27*IF(E27="",1,E27))</f>
        <v/>
      </c>
      <c r="G27" s="9" t="n"/>
      <c r="H27">
        <f>IF(A27="","",YEAR(A27))</f>
        <v/>
      </c>
    </row>
    <row r="28">
      <c r="A28" s="10" t="n"/>
      <c r="B28" s="9" t="n"/>
      <c r="C28" s="9" t="n"/>
      <c r="D28" s="14" t="n"/>
      <c r="E28" s="11" t="n"/>
      <c r="F28" s="14">
        <f>IF(OR(A28="",D28=""),"",D28*IF(E28="",1,E28))</f>
        <v/>
      </c>
      <c r="G28" s="9" t="n"/>
      <c r="H28">
        <f>IF(A28="","",YEAR(A28))</f>
        <v/>
      </c>
    </row>
    <row r="29">
      <c r="A29" s="10" t="n"/>
      <c r="B29" s="9" t="n"/>
      <c r="C29" s="9" t="n"/>
      <c r="D29" s="14" t="n"/>
      <c r="E29" s="11" t="n"/>
      <c r="F29" s="14">
        <f>IF(OR(A29="",D29=""),"",D29*IF(E29="",1,E29))</f>
        <v/>
      </c>
      <c r="G29" s="9" t="n"/>
      <c r="H29">
        <f>IF(A29="","",YEAR(A29))</f>
        <v/>
      </c>
    </row>
    <row r="30">
      <c r="A30" s="10" t="n"/>
      <c r="B30" s="9" t="n"/>
      <c r="C30" s="9" t="n"/>
      <c r="D30" s="14" t="n"/>
      <c r="E30" s="11" t="n"/>
      <c r="F30" s="14">
        <f>IF(OR(A30="",D30=""),"",D30*IF(E30="",1,E30))</f>
        <v/>
      </c>
      <c r="G30" s="9" t="n"/>
      <c r="H30">
        <f>IF(A30="","",YEAR(A30))</f>
        <v/>
      </c>
    </row>
    <row r="31">
      <c r="A31" s="10" t="n"/>
      <c r="B31" s="9" t="n"/>
      <c r="C31" s="9" t="n"/>
      <c r="D31" s="14" t="n"/>
      <c r="E31" s="11" t="n"/>
      <c r="F31" s="14">
        <f>IF(OR(A31="",D31=""),"",D31*IF(E31="",1,E31))</f>
        <v/>
      </c>
      <c r="G31" s="9" t="n"/>
      <c r="H31">
        <f>IF(A31="","",YEAR(A31))</f>
        <v/>
      </c>
    </row>
    <row r="32">
      <c r="A32" s="10" t="n"/>
      <c r="B32" s="9" t="n"/>
      <c r="C32" s="9" t="n"/>
      <c r="D32" s="14" t="n"/>
      <c r="E32" s="11" t="n"/>
      <c r="F32" s="14">
        <f>IF(OR(A32="",D32=""),"",D32*IF(E32="",1,E32))</f>
        <v/>
      </c>
      <c r="G32" s="9" t="n"/>
      <c r="H32">
        <f>IF(A32="","",YEAR(A32))</f>
        <v/>
      </c>
    </row>
    <row r="33">
      <c r="A33" s="10" t="n"/>
      <c r="B33" s="9" t="n"/>
      <c r="C33" s="9" t="n"/>
      <c r="D33" s="14" t="n"/>
      <c r="E33" s="11" t="n"/>
      <c r="F33" s="14">
        <f>IF(OR(A33="",D33=""),"",D33*IF(E33="",1,E33))</f>
        <v/>
      </c>
      <c r="G33" s="9" t="n"/>
      <c r="H33">
        <f>IF(A33="","",YEAR(A33))</f>
        <v/>
      </c>
    </row>
    <row r="34">
      <c r="A34" s="10" t="n"/>
      <c r="B34" s="9" t="n"/>
      <c r="C34" s="9" t="n"/>
      <c r="D34" s="14" t="n"/>
      <c r="E34" s="11" t="n"/>
      <c r="F34" s="14">
        <f>IF(OR(A34="",D34=""),"",D34*IF(E34="",1,E34))</f>
        <v/>
      </c>
      <c r="G34" s="9" t="n"/>
      <c r="H34">
        <f>IF(A34="","",YEAR(A34))</f>
        <v/>
      </c>
    </row>
    <row r="35">
      <c r="A35" s="10" t="n"/>
      <c r="B35" s="9" t="n"/>
      <c r="C35" s="9" t="n"/>
      <c r="D35" s="14" t="n"/>
      <c r="E35" s="11" t="n"/>
      <c r="F35" s="14">
        <f>IF(OR(A35="",D35=""),"",D35*IF(E35="",1,E35))</f>
        <v/>
      </c>
      <c r="G35" s="9" t="n"/>
      <c r="H35">
        <f>IF(A35="","",YEAR(A35))</f>
        <v/>
      </c>
    </row>
    <row r="36">
      <c r="A36" s="10" t="n"/>
      <c r="B36" s="9" t="n"/>
      <c r="C36" s="9" t="n"/>
      <c r="D36" s="14" t="n"/>
      <c r="E36" s="11" t="n"/>
      <c r="F36" s="14">
        <f>IF(OR(A36="",D36=""),"",D36*IF(E36="",1,E36))</f>
        <v/>
      </c>
      <c r="G36" s="9" t="n"/>
      <c r="H36">
        <f>IF(A36="","",YEAR(A36))</f>
        <v/>
      </c>
    </row>
    <row r="37">
      <c r="A37" s="10" t="n"/>
      <c r="B37" s="9" t="n"/>
      <c r="C37" s="9" t="n"/>
      <c r="D37" s="14" t="n"/>
      <c r="E37" s="11" t="n"/>
      <c r="F37" s="14">
        <f>IF(OR(A37="",D37=""),"",D37*IF(E37="",1,E37))</f>
        <v/>
      </c>
      <c r="G37" s="9" t="n"/>
      <c r="H37">
        <f>IF(A37="","",YEAR(A37))</f>
        <v/>
      </c>
    </row>
    <row r="38">
      <c r="A38" s="10" t="n"/>
      <c r="B38" s="9" t="n"/>
      <c r="C38" s="9" t="n"/>
      <c r="D38" s="14" t="n"/>
      <c r="E38" s="11" t="n"/>
      <c r="F38" s="14">
        <f>IF(OR(A38="",D38=""),"",D38*IF(E38="",1,E38))</f>
        <v/>
      </c>
      <c r="G38" s="9" t="n"/>
      <c r="H38">
        <f>IF(A38="","",YEAR(A38))</f>
        <v/>
      </c>
    </row>
    <row r="39">
      <c r="A39" s="10" t="n"/>
      <c r="B39" s="9" t="n"/>
      <c r="C39" s="9" t="n"/>
      <c r="D39" s="14" t="n"/>
      <c r="E39" s="11" t="n"/>
      <c r="F39" s="14">
        <f>IF(OR(A39="",D39=""),"",D39*IF(E39="",1,E39))</f>
        <v/>
      </c>
      <c r="G39" s="9" t="n"/>
      <c r="H39">
        <f>IF(A39="","",YEAR(A39))</f>
        <v/>
      </c>
    </row>
    <row r="40">
      <c r="A40" s="10" t="n"/>
      <c r="B40" s="9" t="n"/>
      <c r="C40" s="9" t="n"/>
      <c r="D40" s="14" t="n"/>
      <c r="E40" s="11" t="n"/>
      <c r="F40" s="14">
        <f>IF(OR(A40="",D40=""),"",D40*IF(E40="",1,E40))</f>
        <v/>
      </c>
      <c r="G40" s="9" t="n"/>
      <c r="H40">
        <f>IF(A40="","",YEAR(A40))</f>
        <v/>
      </c>
    </row>
    <row r="41">
      <c r="A41" s="10" t="n"/>
      <c r="B41" s="9" t="n"/>
      <c r="C41" s="9" t="n"/>
      <c r="D41" s="14" t="n"/>
      <c r="E41" s="11" t="n"/>
      <c r="F41" s="14">
        <f>IF(OR(A41="",D41=""),"",D41*IF(E41="",1,E41))</f>
        <v/>
      </c>
      <c r="G41" s="9" t="n"/>
      <c r="H41">
        <f>IF(A41="","",YEAR(A41))</f>
        <v/>
      </c>
    </row>
    <row r="42">
      <c r="A42" s="10" t="n"/>
      <c r="B42" s="9" t="n"/>
      <c r="C42" s="9" t="n"/>
      <c r="D42" s="14" t="n"/>
      <c r="E42" s="11" t="n"/>
      <c r="F42" s="14">
        <f>IF(OR(A42="",D42=""),"",D42*IF(E42="",1,E42))</f>
        <v/>
      </c>
      <c r="G42" s="9" t="n"/>
      <c r="H42">
        <f>IF(A42="","",YEAR(A42))</f>
        <v/>
      </c>
    </row>
    <row r="43">
      <c r="A43" s="10" t="n"/>
      <c r="B43" s="9" t="n"/>
      <c r="C43" s="9" t="n"/>
      <c r="D43" s="14" t="n"/>
      <c r="E43" s="11" t="n"/>
      <c r="F43" s="14">
        <f>IF(OR(A43="",D43=""),"",D43*IF(E43="",1,E43))</f>
        <v/>
      </c>
      <c r="G43" s="9" t="n"/>
      <c r="H43">
        <f>IF(A43="","",YEAR(A43))</f>
        <v/>
      </c>
    </row>
    <row r="44">
      <c r="A44" s="10" t="n"/>
      <c r="B44" s="9" t="n"/>
      <c r="C44" s="9" t="n"/>
      <c r="D44" s="14" t="n"/>
      <c r="E44" s="11" t="n"/>
      <c r="F44" s="14">
        <f>IF(OR(A44="",D44=""),"",D44*IF(E44="",1,E44))</f>
        <v/>
      </c>
      <c r="G44" s="9" t="n"/>
      <c r="H44">
        <f>IF(A44="","",YEAR(A44))</f>
        <v/>
      </c>
    </row>
    <row r="45">
      <c r="A45" s="10" t="n"/>
      <c r="B45" s="9" t="n"/>
      <c r="C45" s="9" t="n"/>
      <c r="D45" s="14" t="n"/>
      <c r="E45" s="11" t="n"/>
      <c r="F45" s="14">
        <f>IF(OR(A45="",D45=""),"",D45*IF(E45="",1,E45))</f>
        <v/>
      </c>
      <c r="G45" s="9" t="n"/>
      <c r="H45">
        <f>IF(A45="","",YEAR(A45))</f>
        <v/>
      </c>
    </row>
    <row r="46">
      <c r="A46" s="10" t="n"/>
      <c r="B46" s="9" t="n"/>
      <c r="C46" s="9" t="n"/>
      <c r="D46" s="14" t="n"/>
      <c r="E46" s="11" t="n"/>
      <c r="F46" s="14">
        <f>IF(OR(A46="",D46=""),"",D46*IF(E46="",1,E46))</f>
        <v/>
      </c>
      <c r="G46" s="9" t="n"/>
      <c r="H46">
        <f>IF(A46="","",YEAR(A46))</f>
        <v/>
      </c>
    </row>
    <row r="47">
      <c r="A47" s="10" t="n"/>
      <c r="B47" s="9" t="n"/>
      <c r="C47" s="9" t="n"/>
      <c r="D47" s="14" t="n"/>
      <c r="E47" s="11" t="n"/>
      <c r="F47" s="14">
        <f>IF(OR(A47="",D47=""),"",D47*IF(E47="",1,E47))</f>
        <v/>
      </c>
      <c r="G47" s="9" t="n"/>
      <c r="H47">
        <f>IF(A47="","",YEAR(A47))</f>
        <v/>
      </c>
    </row>
    <row r="48">
      <c r="A48" s="10" t="n"/>
      <c r="B48" s="9" t="n"/>
      <c r="C48" s="9" t="n"/>
      <c r="D48" s="14" t="n"/>
      <c r="E48" s="11" t="n"/>
      <c r="F48" s="14">
        <f>IF(OR(A48="",D48=""),"",D48*IF(E48="",1,E48))</f>
        <v/>
      </c>
      <c r="G48" s="9" t="n"/>
      <c r="H48">
        <f>IF(A48="","",YEAR(A48))</f>
        <v/>
      </c>
    </row>
    <row r="49">
      <c r="A49" s="10" t="n"/>
      <c r="B49" s="9" t="n"/>
      <c r="C49" s="9" t="n"/>
      <c r="D49" s="14" t="n"/>
      <c r="E49" s="11" t="n"/>
      <c r="F49" s="14">
        <f>IF(OR(A49="",D49=""),"",D49*IF(E49="",1,E49))</f>
        <v/>
      </c>
      <c r="G49" s="9" t="n"/>
      <c r="H49">
        <f>IF(A49="","",YEAR(A49))</f>
        <v/>
      </c>
    </row>
    <row r="50">
      <c r="A50" s="10" t="n"/>
      <c r="B50" s="9" t="n"/>
      <c r="C50" s="9" t="n"/>
      <c r="D50" s="14" t="n"/>
      <c r="E50" s="11" t="n"/>
      <c r="F50" s="14">
        <f>IF(OR(A50="",D50=""),"",D50*IF(E50="",1,E50))</f>
        <v/>
      </c>
      <c r="G50" s="9" t="n"/>
      <c r="H50">
        <f>IF(A50="","",YEAR(A50))</f>
        <v/>
      </c>
    </row>
    <row r="51">
      <c r="A51" s="10" t="n"/>
      <c r="B51" s="9" t="n"/>
      <c r="C51" s="9" t="n"/>
      <c r="D51" s="14" t="n"/>
      <c r="E51" s="11" t="n"/>
      <c r="F51" s="14">
        <f>IF(OR(A51="",D51=""),"",D51*IF(E51="",1,E51))</f>
        <v/>
      </c>
      <c r="G51" s="9" t="n"/>
      <c r="H51">
        <f>IF(A51="","",YEAR(A51))</f>
        <v/>
      </c>
    </row>
    <row r="52">
      <c r="A52" s="10" t="n"/>
      <c r="B52" s="9" t="n"/>
      <c r="C52" s="9" t="n"/>
      <c r="D52" s="14" t="n"/>
      <c r="E52" s="11" t="n"/>
      <c r="F52" s="14">
        <f>IF(OR(A52="",D52=""),"",D52*IF(E52="",1,E52))</f>
        <v/>
      </c>
      <c r="G52" s="9" t="n"/>
      <c r="H52">
        <f>IF(A52="","",YEAR(A52))</f>
        <v/>
      </c>
    </row>
    <row r="53">
      <c r="A53" s="10" t="n"/>
      <c r="B53" s="9" t="n"/>
      <c r="C53" s="9" t="n"/>
      <c r="D53" s="14" t="n"/>
      <c r="E53" s="11" t="n"/>
      <c r="F53" s="14">
        <f>IF(OR(A53="",D53=""),"",D53*IF(E53="",1,E53))</f>
        <v/>
      </c>
      <c r="G53" s="9" t="n"/>
      <c r="H53">
        <f>IF(A53="","",YEAR(A53))</f>
        <v/>
      </c>
    </row>
    <row r="54">
      <c r="A54" s="10" t="n"/>
      <c r="B54" s="9" t="n"/>
      <c r="C54" s="9" t="n"/>
      <c r="D54" s="14" t="n"/>
      <c r="E54" s="11" t="n"/>
      <c r="F54" s="14">
        <f>IF(OR(A54="",D54=""),"",D54*IF(E54="",1,E54))</f>
        <v/>
      </c>
      <c r="G54" s="9" t="n"/>
      <c r="H54">
        <f>IF(A54="","",YEAR(A54))</f>
        <v/>
      </c>
    </row>
    <row r="55">
      <c r="A55" s="10" t="n"/>
      <c r="B55" s="9" t="n"/>
      <c r="C55" s="9" t="n"/>
      <c r="D55" s="14" t="n"/>
      <c r="E55" s="11" t="n"/>
      <c r="F55" s="14">
        <f>IF(OR(A55="",D55=""),"",D55*IF(E55="",1,E55))</f>
        <v/>
      </c>
      <c r="G55" s="9" t="n"/>
      <c r="H55">
        <f>IF(A55="","",YEAR(A55))</f>
        <v/>
      </c>
    </row>
    <row r="56">
      <c r="A56" s="10" t="n"/>
      <c r="B56" s="9" t="n"/>
      <c r="C56" s="9" t="n"/>
      <c r="D56" s="14" t="n"/>
      <c r="E56" s="11" t="n"/>
      <c r="F56" s="14">
        <f>IF(OR(A56="",D56=""),"",D56*IF(E56="",1,E56))</f>
        <v/>
      </c>
      <c r="G56" s="9" t="n"/>
      <c r="H56">
        <f>IF(A56="","",YEAR(A56))</f>
        <v/>
      </c>
    </row>
    <row r="57">
      <c r="A57" s="10" t="n"/>
      <c r="B57" s="9" t="n"/>
      <c r="C57" s="9" t="n"/>
      <c r="D57" s="14" t="n"/>
      <c r="E57" s="11" t="n"/>
      <c r="F57" s="14">
        <f>IF(OR(A57="",D57=""),"",D57*IF(E57="",1,E57))</f>
        <v/>
      </c>
      <c r="G57" s="9" t="n"/>
      <c r="H57">
        <f>IF(A57="","",YEAR(A57))</f>
        <v/>
      </c>
    </row>
    <row r="58">
      <c r="A58" s="10" t="n"/>
      <c r="B58" s="9" t="n"/>
      <c r="C58" s="9" t="n"/>
      <c r="D58" s="14" t="n"/>
      <c r="E58" s="11" t="n"/>
      <c r="F58" s="14">
        <f>IF(OR(A58="",D58=""),"",D58*IF(E58="",1,E58))</f>
        <v/>
      </c>
      <c r="G58" s="9" t="n"/>
      <c r="H58">
        <f>IF(A58="","",YEAR(A58))</f>
        <v/>
      </c>
    </row>
    <row r="59">
      <c r="A59" s="10" t="n"/>
      <c r="B59" s="9" t="n"/>
      <c r="C59" s="9" t="n"/>
      <c r="D59" s="14" t="n"/>
      <c r="E59" s="11" t="n"/>
      <c r="F59" s="14">
        <f>IF(OR(A59="",D59=""),"",D59*IF(E59="",1,E59))</f>
        <v/>
      </c>
      <c r="G59" s="9" t="n"/>
      <c r="H59">
        <f>IF(A59="","",YEAR(A59))</f>
        <v/>
      </c>
    </row>
    <row r="60">
      <c r="A60" s="10" t="n"/>
      <c r="B60" s="9" t="n"/>
      <c r="C60" s="9" t="n"/>
      <c r="D60" s="14" t="n"/>
      <c r="E60" s="11" t="n"/>
      <c r="F60" s="14">
        <f>IF(OR(A60="",D60=""),"",D60*IF(E60="",1,E60))</f>
        <v/>
      </c>
      <c r="G60" s="9" t="n"/>
      <c r="H60">
        <f>IF(A60="","",YEAR(A60))</f>
        <v/>
      </c>
    </row>
    <row r="61">
      <c r="A61" s="10" t="n"/>
      <c r="B61" s="9" t="n"/>
      <c r="C61" s="9" t="n"/>
      <c r="D61" s="14" t="n"/>
      <c r="E61" s="11" t="n"/>
      <c r="F61" s="14">
        <f>IF(OR(A61="",D61=""),"",D61*IF(E61="",1,E61))</f>
        <v/>
      </c>
      <c r="G61" s="9" t="n"/>
      <c r="H61">
        <f>IF(A61="","",YEAR(A61))</f>
        <v/>
      </c>
    </row>
    <row r="62">
      <c r="A62" s="10" t="n"/>
      <c r="B62" s="9" t="n"/>
      <c r="C62" s="9" t="n"/>
      <c r="D62" s="14" t="n"/>
      <c r="E62" s="11" t="n"/>
      <c r="F62" s="14">
        <f>IF(OR(A62="",D62=""),"",D62*IF(E62="",1,E62))</f>
        <v/>
      </c>
      <c r="G62" s="9" t="n"/>
      <c r="H62">
        <f>IF(A62="","",YEAR(A62))</f>
        <v/>
      </c>
    </row>
    <row r="63">
      <c r="A63" s="10" t="n"/>
      <c r="B63" s="9" t="n"/>
      <c r="C63" s="9" t="n"/>
      <c r="D63" s="14" t="n"/>
      <c r="E63" s="11" t="n"/>
      <c r="F63" s="14">
        <f>IF(OR(A63="",D63=""),"",D63*IF(E63="",1,E63))</f>
        <v/>
      </c>
      <c r="G63" s="9" t="n"/>
      <c r="H63">
        <f>IF(A63="","",YEAR(A63))</f>
        <v/>
      </c>
    </row>
    <row r="64">
      <c r="A64" s="10" t="n"/>
      <c r="B64" s="9" t="n"/>
      <c r="C64" s="9" t="n"/>
      <c r="D64" s="14" t="n"/>
      <c r="E64" s="11" t="n"/>
      <c r="F64" s="14">
        <f>IF(OR(A64="",D64=""),"",D64*IF(E64="",1,E64))</f>
        <v/>
      </c>
      <c r="G64" s="9" t="n"/>
      <c r="H64">
        <f>IF(A64="","",YEAR(A64))</f>
        <v/>
      </c>
    </row>
    <row r="65">
      <c r="A65" s="10" t="n"/>
      <c r="B65" s="9" t="n"/>
      <c r="C65" s="9" t="n"/>
      <c r="D65" s="14" t="n"/>
      <c r="E65" s="11" t="n"/>
      <c r="F65" s="14">
        <f>IF(OR(A65="",D65=""),"",D65*IF(E65="",1,E65))</f>
        <v/>
      </c>
      <c r="G65" s="9" t="n"/>
      <c r="H65">
        <f>IF(A65="","",YEAR(A65))</f>
        <v/>
      </c>
    </row>
    <row r="66">
      <c r="A66" s="10" t="n"/>
      <c r="B66" s="9" t="n"/>
      <c r="C66" s="9" t="n"/>
      <c r="D66" s="14" t="n"/>
      <c r="E66" s="11" t="n"/>
      <c r="F66" s="14">
        <f>IF(OR(A66="",D66=""),"",D66*IF(E66="",1,E66))</f>
        <v/>
      </c>
      <c r="G66" s="9" t="n"/>
      <c r="H66">
        <f>IF(A66="","",YEAR(A66))</f>
        <v/>
      </c>
    </row>
    <row r="67">
      <c r="A67" s="10" t="n"/>
      <c r="B67" s="9" t="n"/>
      <c r="C67" s="9" t="n"/>
      <c r="D67" s="14" t="n"/>
      <c r="E67" s="11" t="n"/>
      <c r="F67" s="14">
        <f>IF(OR(A67="",D67=""),"",D67*IF(E67="",1,E67))</f>
        <v/>
      </c>
      <c r="G67" s="9" t="n"/>
      <c r="H67">
        <f>IF(A67="","",YEAR(A67))</f>
        <v/>
      </c>
    </row>
    <row r="68">
      <c r="A68" s="10" t="n"/>
      <c r="B68" s="9" t="n"/>
      <c r="C68" s="9" t="n"/>
      <c r="D68" s="14" t="n"/>
      <c r="E68" s="11" t="n"/>
      <c r="F68" s="14">
        <f>IF(OR(A68="",D68=""),"",D68*IF(E68="",1,E68))</f>
        <v/>
      </c>
      <c r="G68" s="9" t="n"/>
      <c r="H68">
        <f>IF(A68="","",YEAR(A68))</f>
        <v/>
      </c>
    </row>
    <row r="69">
      <c r="A69" s="10" t="n"/>
      <c r="B69" s="9" t="n"/>
      <c r="C69" s="9" t="n"/>
      <c r="D69" s="14" t="n"/>
      <c r="E69" s="11" t="n"/>
      <c r="F69" s="14">
        <f>IF(OR(A69="",D69=""),"",D69*IF(E69="",1,E69))</f>
        <v/>
      </c>
      <c r="G69" s="9" t="n"/>
      <c r="H69">
        <f>IF(A69="","",YEAR(A69))</f>
        <v/>
      </c>
    </row>
    <row r="70">
      <c r="A70" s="10" t="n"/>
      <c r="B70" s="9" t="n"/>
      <c r="C70" s="9" t="n"/>
      <c r="D70" s="14" t="n"/>
      <c r="E70" s="11" t="n"/>
      <c r="F70" s="14">
        <f>IF(OR(A70="",D70=""),"",D70*IF(E70="",1,E70))</f>
        <v/>
      </c>
      <c r="G70" s="9" t="n"/>
      <c r="H70">
        <f>IF(A70="","",YEAR(A70))</f>
        <v/>
      </c>
    </row>
    <row r="71">
      <c r="A71" s="10" t="n"/>
      <c r="B71" s="9" t="n"/>
      <c r="C71" s="9" t="n"/>
      <c r="D71" s="14" t="n"/>
      <c r="E71" s="11" t="n"/>
      <c r="F71" s="14">
        <f>IF(OR(A71="",D71=""),"",D71*IF(E71="",1,E71))</f>
        <v/>
      </c>
      <c r="G71" s="9" t="n"/>
      <c r="H71">
        <f>IF(A71="","",YEAR(A71))</f>
        <v/>
      </c>
    </row>
    <row r="72">
      <c r="A72" s="10" t="n"/>
      <c r="B72" s="9" t="n"/>
      <c r="C72" s="9" t="n"/>
      <c r="D72" s="14" t="n"/>
      <c r="E72" s="11" t="n"/>
      <c r="F72" s="14">
        <f>IF(OR(A72="",D72=""),"",D72*IF(E72="",1,E72))</f>
        <v/>
      </c>
      <c r="G72" s="9" t="n"/>
      <c r="H72">
        <f>IF(A72="","",YEAR(A72))</f>
        <v/>
      </c>
    </row>
    <row r="73">
      <c r="A73" s="10" t="n"/>
      <c r="B73" s="9" t="n"/>
      <c r="C73" s="9" t="n"/>
      <c r="D73" s="14" t="n"/>
      <c r="E73" s="11" t="n"/>
      <c r="F73" s="14">
        <f>IF(OR(A73="",D73=""),"",D73*IF(E73="",1,E73))</f>
        <v/>
      </c>
      <c r="G73" s="9" t="n"/>
      <c r="H73">
        <f>IF(A73="","",YEAR(A73))</f>
        <v/>
      </c>
    </row>
    <row r="74">
      <c r="A74" s="10" t="n"/>
      <c r="B74" s="9" t="n"/>
      <c r="C74" s="9" t="n"/>
      <c r="D74" s="14" t="n"/>
      <c r="E74" s="11" t="n"/>
      <c r="F74" s="14">
        <f>IF(OR(A74="",D74=""),"",D74*IF(E74="",1,E74))</f>
        <v/>
      </c>
      <c r="G74" s="9" t="n"/>
      <c r="H74">
        <f>IF(A74="","",YEAR(A74))</f>
        <v/>
      </c>
    </row>
    <row r="75">
      <c r="A75" s="10" t="n"/>
      <c r="B75" s="9" t="n"/>
      <c r="C75" s="9" t="n"/>
      <c r="D75" s="14" t="n"/>
      <c r="E75" s="11" t="n"/>
      <c r="F75" s="14">
        <f>IF(OR(A75="",D75=""),"",D75*IF(E75="",1,E75))</f>
        <v/>
      </c>
      <c r="G75" s="9" t="n"/>
      <c r="H75">
        <f>IF(A75="","",YEAR(A75))</f>
        <v/>
      </c>
    </row>
    <row r="76">
      <c r="A76" s="10" t="n"/>
      <c r="B76" s="9" t="n"/>
      <c r="C76" s="9" t="n"/>
      <c r="D76" s="14" t="n"/>
      <c r="E76" s="11" t="n"/>
      <c r="F76" s="14">
        <f>IF(OR(A76="",D76=""),"",D76*IF(E76="",1,E76))</f>
        <v/>
      </c>
      <c r="G76" s="9" t="n"/>
      <c r="H76">
        <f>IF(A76="","",YEAR(A76))</f>
        <v/>
      </c>
    </row>
    <row r="77">
      <c r="A77" s="10" t="n"/>
      <c r="B77" s="9" t="n"/>
      <c r="C77" s="9" t="n"/>
      <c r="D77" s="14" t="n"/>
      <c r="E77" s="11" t="n"/>
      <c r="F77" s="14">
        <f>IF(OR(A77="",D77=""),"",D77*IF(E77="",1,E77))</f>
        <v/>
      </c>
      <c r="G77" s="9" t="n"/>
      <c r="H77">
        <f>IF(A77="","",YEAR(A77))</f>
        <v/>
      </c>
    </row>
    <row r="78">
      <c r="A78" s="10" t="n"/>
      <c r="B78" s="9" t="n"/>
      <c r="C78" s="9" t="n"/>
      <c r="D78" s="14" t="n"/>
      <c r="E78" s="11" t="n"/>
      <c r="F78" s="14">
        <f>IF(OR(A78="",D78=""),"",D78*IF(E78="",1,E78))</f>
        <v/>
      </c>
      <c r="G78" s="9" t="n"/>
      <c r="H78">
        <f>IF(A78="","",YEAR(A78))</f>
        <v/>
      </c>
    </row>
    <row r="79">
      <c r="A79" s="10" t="n"/>
      <c r="B79" s="9" t="n"/>
      <c r="C79" s="9" t="n"/>
      <c r="D79" s="14" t="n"/>
      <c r="E79" s="11" t="n"/>
      <c r="F79" s="14">
        <f>IF(OR(A79="",D79=""),"",D79*IF(E79="",1,E79))</f>
        <v/>
      </c>
      <c r="G79" s="9" t="n"/>
      <c r="H79">
        <f>IF(A79="","",YEAR(A79))</f>
        <v/>
      </c>
    </row>
    <row r="80">
      <c r="A80" s="10" t="n"/>
      <c r="B80" s="9" t="n"/>
      <c r="C80" s="9" t="n"/>
      <c r="D80" s="14" t="n"/>
      <c r="E80" s="11" t="n"/>
      <c r="F80" s="14">
        <f>IF(OR(A80="",D80=""),"",D80*IF(E80="",1,E80))</f>
        <v/>
      </c>
      <c r="G80" s="9" t="n"/>
      <c r="H80">
        <f>IF(A80="","",YEAR(A80))</f>
        <v/>
      </c>
    </row>
    <row r="81">
      <c r="A81" s="10" t="n"/>
      <c r="B81" s="9" t="n"/>
      <c r="C81" s="9" t="n"/>
      <c r="D81" s="14" t="n"/>
      <c r="E81" s="11" t="n"/>
      <c r="F81" s="14">
        <f>IF(OR(A81="",D81=""),"",D81*IF(E81="",1,E81))</f>
        <v/>
      </c>
      <c r="G81" s="9" t="n"/>
      <c r="H81">
        <f>IF(A81="","",YEAR(A81))</f>
        <v/>
      </c>
    </row>
    <row r="82">
      <c r="A82" s="10" t="n"/>
      <c r="B82" s="9" t="n"/>
      <c r="C82" s="9" t="n"/>
      <c r="D82" s="14" t="n"/>
      <c r="E82" s="11" t="n"/>
      <c r="F82" s="14">
        <f>IF(OR(A82="",D82=""),"",D82*IF(E82="",1,E82))</f>
        <v/>
      </c>
      <c r="G82" s="9" t="n"/>
      <c r="H82">
        <f>IF(A82="","",YEAR(A82))</f>
        <v/>
      </c>
    </row>
    <row r="83">
      <c r="A83" s="10" t="n"/>
      <c r="B83" s="9" t="n"/>
      <c r="C83" s="9" t="n"/>
      <c r="D83" s="14" t="n"/>
      <c r="E83" s="11" t="n"/>
      <c r="F83" s="14">
        <f>IF(OR(A83="",D83=""),"",D83*IF(E83="",1,E83))</f>
        <v/>
      </c>
      <c r="G83" s="9" t="n"/>
      <c r="H83">
        <f>IF(A83="","",YEAR(A83))</f>
        <v/>
      </c>
    </row>
    <row r="84">
      <c r="A84" s="10" t="n"/>
      <c r="B84" s="9" t="n"/>
      <c r="C84" s="9" t="n"/>
      <c r="D84" s="14" t="n"/>
      <c r="E84" s="11" t="n"/>
      <c r="F84" s="14">
        <f>IF(OR(A84="",D84=""),"",D84*IF(E84="",1,E84))</f>
        <v/>
      </c>
      <c r="G84" s="9" t="n"/>
      <c r="H84">
        <f>IF(A84="","",YEAR(A84))</f>
        <v/>
      </c>
    </row>
    <row r="85">
      <c r="A85" s="10" t="n"/>
      <c r="B85" s="9" t="n"/>
      <c r="C85" s="9" t="n"/>
      <c r="D85" s="14" t="n"/>
      <c r="E85" s="11" t="n"/>
      <c r="F85" s="14">
        <f>IF(OR(A85="",D85=""),"",D85*IF(E85="",1,E85))</f>
        <v/>
      </c>
      <c r="G85" s="9" t="n"/>
      <c r="H85">
        <f>IF(A85="","",YEAR(A85))</f>
        <v/>
      </c>
    </row>
    <row r="86">
      <c r="A86" s="10" t="n"/>
      <c r="B86" s="9" t="n"/>
      <c r="C86" s="9" t="n"/>
      <c r="D86" s="14" t="n"/>
      <c r="E86" s="11" t="n"/>
      <c r="F86" s="14">
        <f>IF(OR(A86="",D86=""),"",D86*IF(E86="",1,E86))</f>
        <v/>
      </c>
      <c r="G86" s="9" t="n"/>
      <c r="H86">
        <f>IF(A86="","",YEAR(A86))</f>
        <v/>
      </c>
    </row>
    <row r="87">
      <c r="A87" s="10" t="n"/>
      <c r="B87" s="9" t="n"/>
      <c r="C87" s="9" t="n"/>
      <c r="D87" s="14" t="n"/>
      <c r="E87" s="11" t="n"/>
      <c r="F87" s="14">
        <f>IF(OR(A87="",D87=""),"",D87*IF(E87="",1,E87))</f>
        <v/>
      </c>
      <c r="G87" s="9" t="n"/>
      <c r="H87">
        <f>IF(A87="","",YEAR(A87))</f>
        <v/>
      </c>
    </row>
    <row r="88">
      <c r="A88" s="10" t="n"/>
      <c r="B88" s="9" t="n"/>
      <c r="C88" s="9" t="n"/>
      <c r="D88" s="14" t="n"/>
      <c r="E88" s="11" t="n"/>
      <c r="F88" s="14">
        <f>IF(OR(A88="",D88=""),"",D88*IF(E88="",1,E88))</f>
        <v/>
      </c>
      <c r="G88" s="9" t="n"/>
      <c r="H88">
        <f>IF(A88="","",YEAR(A88))</f>
        <v/>
      </c>
    </row>
    <row r="89">
      <c r="A89" s="10" t="n"/>
      <c r="B89" s="9" t="n"/>
      <c r="C89" s="9" t="n"/>
      <c r="D89" s="14" t="n"/>
      <c r="E89" s="11" t="n"/>
      <c r="F89" s="14">
        <f>IF(OR(A89="",D89=""),"",D89*IF(E89="",1,E89))</f>
        <v/>
      </c>
      <c r="G89" s="9" t="n"/>
      <c r="H89">
        <f>IF(A89="","",YEAR(A89))</f>
        <v/>
      </c>
    </row>
    <row r="90">
      <c r="A90" s="10" t="n"/>
      <c r="B90" s="9" t="n"/>
      <c r="C90" s="9" t="n"/>
      <c r="D90" s="14" t="n"/>
      <c r="E90" s="11" t="n"/>
      <c r="F90" s="14">
        <f>IF(OR(A90="",D90=""),"",D90*IF(E90="",1,E90))</f>
        <v/>
      </c>
      <c r="G90" s="9" t="n"/>
      <c r="H90">
        <f>IF(A90="","",YEAR(A90))</f>
        <v/>
      </c>
    </row>
    <row r="91">
      <c r="A91" s="10" t="n"/>
      <c r="B91" s="9" t="n"/>
      <c r="C91" s="9" t="n"/>
      <c r="D91" s="14" t="n"/>
      <c r="E91" s="11" t="n"/>
      <c r="F91" s="14">
        <f>IF(OR(A91="",D91=""),"",D91*IF(E91="",1,E91))</f>
        <v/>
      </c>
      <c r="G91" s="9" t="n"/>
      <c r="H91">
        <f>IF(A91="","",YEAR(A91))</f>
        <v/>
      </c>
    </row>
    <row r="92">
      <c r="A92" s="10" t="n"/>
      <c r="B92" s="9" t="n"/>
      <c r="C92" s="9" t="n"/>
      <c r="D92" s="14" t="n"/>
      <c r="E92" s="11" t="n"/>
      <c r="F92" s="14">
        <f>IF(OR(A92="",D92=""),"",D92*IF(E92="",1,E92))</f>
        <v/>
      </c>
      <c r="G92" s="9" t="n"/>
      <c r="H92">
        <f>IF(A92="","",YEAR(A92))</f>
        <v/>
      </c>
    </row>
    <row r="93">
      <c r="A93" s="10" t="n"/>
      <c r="B93" s="9" t="n"/>
      <c r="C93" s="9" t="n"/>
      <c r="D93" s="14" t="n"/>
      <c r="E93" s="11" t="n"/>
      <c r="F93" s="14">
        <f>IF(OR(A93="",D93=""),"",D93*IF(E93="",1,E93))</f>
        <v/>
      </c>
      <c r="G93" s="9" t="n"/>
      <c r="H93">
        <f>IF(A93="","",YEAR(A93))</f>
        <v/>
      </c>
    </row>
    <row r="94">
      <c r="A94" s="10" t="n"/>
      <c r="B94" s="9" t="n"/>
      <c r="C94" s="9" t="n"/>
      <c r="D94" s="14" t="n"/>
      <c r="E94" s="11" t="n"/>
      <c r="F94" s="14">
        <f>IF(OR(A94="",D94=""),"",D94*IF(E94="",1,E94))</f>
        <v/>
      </c>
      <c r="G94" s="9" t="n"/>
      <c r="H94">
        <f>IF(A94="","",YEAR(A94))</f>
        <v/>
      </c>
    </row>
    <row r="95">
      <c r="A95" s="10" t="n"/>
      <c r="B95" s="9" t="n"/>
      <c r="C95" s="9" t="n"/>
      <c r="D95" s="14" t="n"/>
      <c r="E95" s="11" t="n"/>
      <c r="F95" s="14">
        <f>IF(OR(A95="",D95=""),"",D95*IF(E95="",1,E95))</f>
        <v/>
      </c>
      <c r="G95" s="9" t="n"/>
      <c r="H95">
        <f>IF(A95="","",YEAR(A95))</f>
        <v/>
      </c>
    </row>
    <row r="96">
      <c r="A96" s="10" t="n"/>
      <c r="B96" s="9" t="n"/>
      <c r="C96" s="9" t="n"/>
      <c r="D96" s="14" t="n"/>
      <c r="E96" s="11" t="n"/>
      <c r="F96" s="14">
        <f>IF(OR(A96="",D96=""),"",D96*IF(E96="",1,E96))</f>
        <v/>
      </c>
      <c r="G96" s="9" t="n"/>
      <c r="H96">
        <f>IF(A96="","",YEAR(A96))</f>
        <v/>
      </c>
    </row>
    <row r="97">
      <c r="A97" s="10" t="n"/>
      <c r="B97" s="9" t="n"/>
      <c r="C97" s="9" t="n"/>
      <c r="D97" s="14" t="n"/>
      <c r="E97" s="11" t="n"/>
      <c r="F97" s="14">
        <f>IF(OR(A97="",D97=""),"",D97*IF(E97="",1,E97))</f>
        <v/>
      </c>
      <c r="G97" s="9" t="n"/>
      <c r="H97">
        <f>IF(A97="","",YEAR(A97))</f>
        <v/>
      </c>
    </row>
    <row r="98">
      <c r="A98" s="10" t="n"/>
      <c r="B98" s="9" t="n"/>
      <c r="C98" s="9" t="n"/>
      <c r="D98" s="14" t="n"/>
      <c r="E98" s="11" t="n"/>
      <c r="F98" s="14">
        <f>IF(OR(A98="",D98=""),"",D98*IF(E98="",1,E98))</f>
        <v/>
      </c>
      <c r="G98" s="9" t="n"/>
      <c r="H98">
        <f>IF(A98="","",YEAR(A98))</f>
        <v/>
      </c>
    </row>
    <row r="99">
      <c r="A99" s="10" t="n"/>
      <c r="B99" s="9" t="n"/>
      <c r="C99" s="9" t="n"/>
      <c r="D99" s="14" t="n"/>
      <c r="E99" s="11" t="n"/>
      <c r="F99" s="14">
        <f>IF(OR(A99="",D99=""),"",D99*IF(E99="",1,E99))</f>
        <v/>
      </c>
      <c r="G99" s="9" t="n"/>
      <c r="H99">
        <f>IF(A99="","",YEAR(A99))</f>
        <v/>
      </c>
    </row>
    <row r="100">
      <c r="A100" s="10" t="n"/>
      <c r="B100" s="9" t="n"/>
      <c r="C100" s="9" t="n"/>
      <c r="D100" s="14" t="n"/>
      <c r="E100" s="11" t="n"/>
      <c r="F100" s="14">
        <f>IF(OR(A100="",D100=""),"",D100*IF(E100="",1,E100))</f>
        <v/>
      </c>
      <c r="G100" s="9" t="n"/>
      <c r="H100">
        <f>IF(A100="","",YEAR(A100))</f>
        <v/>
      </c>
    </row>
    <row r="101">
      <c r="A101" s="10" t="n"/>
      <c r="B101" s="9" t="n"/>
      <c r="C101" s="9" t="n"/>
      <c r="D101" s="14" t="n"/>
      <c r="E101" s="11" t="n"/>
      <c r="F101" s="14">
        <f>IF(OR(A101="",D101=""),"",D101*IF(E101="",1,E101))</f>
        <v/>
      </c>
      <c r="G101" s="9" t="n"/>
      <c r="H101">
        <f>IF(A101="","",YEAR(A101))</f>
        <v/>
      </c>
    </row>
    <row r="102">
      <c r="A102" s="10" t="n"/>
      <c r="B102" s="9" t="n"/>
      <c r="C102" s="9" t="n"/>
      <c r="D102" s="14" t="n"/>
      <c r="E102" s="11" t="n"/>
      <c r="F102" s="14">
        <f>IF(OR(A102="",D102=""),"",D102*IF(E102="",1,E102))</f>
        <v/>
      </c>
      <c r="G102" s="9" t="n"/>
      <c r="H102">
        <f>IF(A102="","",YEAR(A102))</f>
        <v/>
      </c>
    </row>
    <row r="103">
      <c r="A103" s="10" t="n"/>
      <c r="B103" s="9" t="n"/>
      <c r="C103" s="9" t="n"/>
      <c r="D103" s="14" t="n"/>
      <c r="E103" s="11" t="n"/>
      <c r="F103" s="14">
        <f>IF(OR(A103="",D103=""),"",D103*IF(E103="",1,E103))</f>
        <v/>
      </c>
      <c r="G103" s="9" t="n"/>
      <c r="H103">
        <f>IF(A103="","",YEAR(A103))</f>
        <v/>
      </c>
    </row>
    <row r="104">
      <c r="A104" s="10" t="n"/>
      <c r="B104" s="9" t="n"/>
      <c r="C104" s="9" t="n"/>
      <c r="D104" s="14" t="n"/>
      <c r="E104" s="11" t="n"/>
      <c r="F104" s="14">
        <f>IF(OR(A104="",D104=""),"",D104*IF(E104="",1,E104))</f>
        <v/>
      </c>
      <c r="G104" s="9" t="n"/>
      <c r="H104">
        <f>IF(A104="","",YEAR(A104))</f>
        <v/>
      </c>
    </row>
    <row r="105">
      <c r="A105" s="10" t="n"/>
      <c r="B105" s="9" t="n"/>
      <c r="C105" s="9" t="n"/>
      <c r="D105" s="14" t="n"/>
      <c r="E105" s="11" t="n"/>
      <c r="F105" s="14">
        <f>IF(OR(A105="",D105=""),"",D105*IF(E105="",1,E105))</f>
        <v/>
      </c>
      <c r="G105" s="9" t="n"/>
      <c r="H105">
        <f>IF(A105="","",YEAR(A105))</f>
        <v/>
      </c>
    </row>
    <row r="106">
      <c r="A106" s="10" t="n"/>
      <c r="B106" s="9" t="n"/>
      <c r="C106" s="9" t="n"/>
      <c r="D106" s="14" t="n"/>
      <c r="E106" s="11" t="n"/>
      <c r="F106" s="14">
        <f>IF(OR(A106="",D106=""),"",D106*IF(E106="",1,E106))</f>
        <v/>
      </c>
      <c r="G106" s="9" t="n"/>
      <c r="H106">
        <f>IF(A106="","",YEAR(A106))</f>
        <v/>
      </c>
    </row>
    <row r="107">
      <c r="A107" s="10" t="n"/>
      <c r="B107" s="9" t="n"/>
      <c r="C107" s="9" t="n"/>
      <c r="D107" s="14" t="n"/>
      <c r="E107" s="11" t="n"/>
      <c r="F107" s="14">
        <f>IF(OR(A107="",D107=""),"",D107*IF(E107="",1,E107))</f>
        <v/>
      </c>
      <c r="G107" s="9" t="n"/>
      <c r="H107">
        <f>IF(A107="","",YEAR(A107))</f>
        <v/>
      </c>
    </row>
    <row r="108">
      <c r="A108" s="10" t="n"/>
      <c r="B108" s="9" t="n"/>
      <c r="C108" s="9" t="n"/>
      <c r="D108" s="14" t="n"/>
      <c r="E108" s="11" t="n"/>
      <c r="F108" s="14">
        <f>IF(OR(A108="",D108=""),"",D108*IF(E108="",1,E108))</f>
        <v/>
      </c>
      <c r="G108" s="9" t="n"/>
      <c r="H108">
        <f>IF(A108="","",YEAR(A108))</f>
        <v/>
      </c>
    </row>
    <row r="109">
      <c r="A109" s="10" t="n"/>
      <c r="B109" s="9" t="n"/>
      <c r="C109" s="9" t="n"/>
      <c r="D109" s="14" t="n"/>
      <c r="E109" s="11" t="n"/>
      <c r="F109" s="14">
        <f>IF(OR(A109="",D109=""),"",D109*IF(E109="",1,E109))</f>
        <v/>
      </c>
      <c r="G109" s="9" t="n"/>
      <c r="H109">
        <f>IF(A109="","",YEAR(A109))</f>
        <v/>
      </c>
    </row>
    <row r="110">
      <c r="A110" s="10" t="n"/>
      <c r="B110" s="9" t="n"/>
      <c r="C110" s="9" t="n"/>
      <c r="D110" s="14" t="n"/>
      <c r="E110" s="11" t="n"/>
      <c r="F110" s="14">
        <f>IF(OR(A110="",D110=""),"",D110*IF(E110="",1,E110))</f>
        <v/>
      </c>
      <c r="G110" s="9" t="n"/>
      <c r="H110">
        <f>IF(A110="","",YEAR(A110))</f>
        <v/>
      </c>
    </row>
    <row r="111">
      <c r="A111" s="10" t="n"/>
      <c r="B111" s="9" t="n"/>
      <c r="C111" s="9" t="n"/>
      <c r="D111" s="14" t="n"/>
      <c r="E111" s="11" t="n"/>
      <c r="F111" s="14">
        <f>IF(OR(A111="",D111=""),"",D111*IF(E111="",1,E111))</f>
        <v/>
      </c>
      <c r="G111" s="9" t="n"/>
      <c r="H111">
        <f>IF(A111="","",YEAR(A111))</f>
        <v/>
      </c>
    </row>
    <row r="112">
      <c r="A112" s="10" t="n"/>
      <c r="B112" s="9" t="n"/>
      <c r="C112" s="9" t="n"/>
      <c r="D112" s="14" t="n"/>
      <c r="E112" s="11" t="n"/>
      <c r="F112" s="14">
        <f>IF(OR(A112="",D112=""),"",D112*IF(E112="",1,E112))</f>
        <v/>
      </c>
      <c r="G112" s="9" t="n"/>
      <c r="H112">
        <f>IF(A112="","",YEAR(A112))</f>
        <v/>
      </c>
    </row>
    <row r="113">
      <c r="A113" s="10" t="n"/>
      <c r="B113" s="9" t="n"/>
      <c r="C113" s="9" t="n"/>
      <c r="D113" s="14" t="n"/>
      <c r="E113" s="11" t="n"/>
      <c r="F113" s="14">
        <f>IF(OR(A113="",D113=""),"",D113*IF(E113="",1,E113))</f>
        <v/>
      </c>
      <c r="G113" s="9" t="n"/>
      <c r="H113">
        <f>IF(A113="","",YEAR(A113))</f>
        <v/>
      </c>
    </row>
    <row r="114">
      <c r="A114" s="10" t="n"/>
      <c r="B114" s="9" t="n"/>
      <c r="C114" s="9" t="n"/>
      <c r="D114" s="14" t="n"/>
      <c r="E114" s="11" t="n"/>
      <c r="F114" s="14">
        <f>IF(OR(A114="",D114=""),"",D114*IF(E114="",1,E114))</f>
        <v/>
      </c>
      <c r="G114" s="9" t="n"/>
      <c r="H114">
        <f>IF(A114="","",YEAR(A114))</f>
        <v/>
      </c>
    </row>
    <row r="115">
      <c r="A115" s="10" t="n"/>
      <c r="B115" s="9" t="n"/>
      <c r="C115" s="9" t="n"/>
      <c r="D115" s="14" t="n"/>
      <c r="E115" s="11" t="n"/>
      <c r="F115" s="14">
        <f>IF(OR(A115="",D115=""),"",D115*IF(E115="",1,E115))</f>
        <v/>
      </c>
      <c r="G115" s="9" t="n"/>
      <c r="H115">
        <f>IF(A115="","",YEAR(A115))</f>
        <v/>
      </c>
    </row>
    <row r="116">
      <c r="A116" s="10" t="n"/>
      <c r="B116" s="9" t="n"/>
      <c r="C116" s="9" t="n"/>
      <c r="D116" s="14" t="n"/>
      <c r="E116" s="11" t="n"/>
      <c r="F116" s="14">
        <f>IF(OR(A116="",D116=""),"",D116*IF(E116="",1,E116))</f>
        <v/>
      </c>
      <c r="G116" s="9" t="n"/>
      <c r="H116">
        <f>IF(A116="","",YEAR(A116))</f>
        <v/>
      </c>
    </row>
    <row r="117">
      <c r="A117" s="10" t="n"/>
      <c r="B117" s="9" t="n"/>
      <c r="C117" s="9" t="n"/>
      <c r="D117" s="14" t="n"/>
      <c r="E117" s="11" t="n"/>
      <c r="F117" s="14">
        <f>IF(OR(A117="",D117=""),"",D117*IF(E117="",1,E117))</f>
        <v/>
      </c>
      <c r="G117" s="9" t="n"/>
      <c r="H117">
        <f>IF(A117="","",YEAR(A117))</f>
        <v/>
      </c>
    </row>
    <row r="118">
      <c r="A118" s="10" t="n"/>
      <c r="B118" s="9" t="n"/>
      <c r="C118" s="9" t="n"/>
      <c r="D118" s="14" t="n"/>
      <c r="E118" s="11" t="n"/>
      <c r="F118" s="14">
        <f>IF(OR(A118="",D118=""),"",D118*IF(E118="",1,E118))</f>
        <v/>
      </c>
      <c r="G118" s="9" t="n"/>
      <c r="H118">
        <f>IF(A118="","",YEAR(A118))</f>
        <v/>
      </c>
    </row>
    <row r="119">
      <c r="A119" s="10" t="n"/>
      <c r="B119" s="9" t="n"/>
      <c r="C119" s="9" t="n"/>
      <c r="D119" s="14" t="n"/>
      <c r="E119" s="11" t="n"/>
      <c r="F119" s="14">
        <f>IF(OR(A119="",D119=""),"",D119*IF(E119="",1,E119))</f>
        <v/>
      </c>
      <c r="G119" s="9" t="n"/>
      <c r="H119">
        <f>IF(A119="","",YEAR(A119))</f>
        <v/>
      </c>
    </row>
    <row r="120">
      <c r="A120" s="10" t="n"/>
      <c r="B120" s="9" t="n"/>
      <c r="C120" s="9" t="n"/>
      <c r="D120" s="14" t="n"/>
      <c r="E120" s="11" t="n"/>
      <c r="F120" s="14">
        <f>IF(OR(A120="",D120=""),"",D120*IF(E120="",1,E120))</f>
        <v/>
      </c>
      <c r="G120" s="9" t="n"/>
      <c r="H120">
        <f>IF(A120="","",YEAR(A120))</f>
        <v/>
      </c>
    </row>
    <row r="121">
      <c r="A121" s="10" t="n"/>
      <c r="B121" s="9" t="n"/>
      <c r="C121" s="9" t="n"/>
      <c r="D121" s="14" t="n"/>
      <c r="E121" s="11" t="n"/>
      <c r="F121" s="14">
        <f>IF(OR(A121="",D121=""),"",D121*IF(E121="",1,E121))</f>
        <v/>
      </c>
      <c r="G121" s="9" t="n"/>
      <c r="H121">
        <f>IF(A121="","",YEAR(A121))</f>
        <v/>
      </c>
    </row>
    <row r="122">
      <c r="A122" s="10" t="n"/>
      <c r="B122" s="9" t="n"/>
      <c r="C122" s="9" t="n"/>
      <c r="D122" s="14" t="n"/>
      <c r="E122" s="11" t="n"/>
      <c r="F122" s="14">
        <f>IF(OR(A122="",D122=""),"",D122*IF(E122="",1,E122))</f>
        <v/>
      </c>
      <c r="G122" s="9" t="n"/>
      <c r="H122">
        <f>IF(A122="","",YEAR(A122))</f>
        <v/>
      </c>
    </row>
    <row r="123">
      <c r="A123" s="10" t="n"/>
      <c r="B123" s="9" t="n"/>
      <c r="C123" s="9" t="n"/>
      <c r="D123" s="14" t="n"/>
      <c r="E123" s="11" t="n"/>
      <c r="F123" s="14">
        <f>IF(OR(A123="",D123=""),"",D123*IF(E123="",1,E123))</f>
        <v/>
      </c>
      <c r="G123" s="9" t="n"/>
      <c r="H123">
        <f>IF(A123="","",YEAR(A123))</f>
        <v/>
      </c>
    </row>
    <row r="124">
      <c r="A124" s="10" t="n"/>
      <c r="B124" s="9" t="n"/>
      <c r="C124" s="9" t="n"/>
      <c r="D124" s="14" t="n"/>
      <c r="E124" s="11" t="n"/>
      <c r="F124" s="14">
        <f>IF(OR(A124="",D124=""),"",D124*IF(E124="",1,E124))</f>
        <v/>
      </c>
      <c r="G124" s="9" t="n"/>
      <c r="H124">
        <f>IF(A124="","",YEAR(A124))</f>
        <v/>
      </c>
    </row>
    <row r="125">
      <c r="A125" s="10" t="n"/>
      <c r="B125" s="9" t="n"/>
      <c r="C125" s="9" t="n"/>
      <c r="D125" s="14" t="n"/>
      <c r="E125" s="11" t="n"/>
      <c r="F125" s="14">
        <f>IF(OR(A125="",D125=""),"",D125*IF(E125="",1,E125))</f>
        <v/>
      </c>
      <c r="G125" s="9" t="n"/>
      <c r="H125">
        <f>IF(A125="","",YEAR(A125))</f>
        <v/>
      </c>
    </row>
    <row r="126">
      <c r="A126" s="10" t="n"/>
      <c r="B126" s="9" t="n"/>
      <c r="C126" s="9" t="n"/>
      <c r="D126" s="14" t="n"/>
      <c r="E126" s="11" t="n"/>
      <c r="F126" s="14">
        <f>IF(OR(A126="",D126=""),"",D126*IF(E126="",1,E126))</f>
        <v/>
      </c>
      <c r="G126" s="9" t="n"/>
      <c r="H126">
        <f>IF(A126="","",YEAR(A126))</f>
        <v/>
      </c>
    </row>
    <row r="127">
      <c r="A127" s="10" t="n"/>
      <c r="B127" s="9" t="n"/>
      <c r="C127" s="9" t="n"/>
      <c r="D127" s="14" t="n"/>
      <c r="E127" s="11" t="n"/>
      <c r="F127" s="14">
        <f>IF(OR(A127="",D127=""),"",D127*IF(E127="",1,E127))</f>
        <v/>
      </c>
      <c r="G127" s="9" t="n"/>
      <c r="H127">
        <f>IF(A127="","",YEAR(A127))</f>
        <v/>
      </c>
    </row>
    <row r="128">
      <c r="A128" s="10" t="n"/>
      <c r="B128" s="9" t="n"/>
      <c r="C128" s="9" t="n"/>
      <c r="D128" s="14" t="n"/>
      <c r="E128" s="11" t="n"/>
      <c r="F128" s="14">
        <f>IF(OR(A128="",D128=""),"",D128*IF(E128="",1,E128))</f>
        <v/>
      </c>
      <c r="G128" s="9" t="n"/>
      <c r="H128">
        <f>IF(A128="","",YEAR(A128))</f>
        <v/>
      </c>
    </row>
    <row r="129">
      <c r="A129" s="10" t="n"/>
      <c r="B129" s="9" t="n"/>
      <c r="C129" s="9" t="n"/>
      <c r="D129" s="14" t="n"/>
      <c r="E129" s="11" t="n"/>
      <c r="F129" s="14">
        <f>IF(OR(A129="",D129=""),"",D129*IF(E129="",1,E129))</f>
        <v/>
      </c>
      <c r="G129" s="9" t="n"/>
      <c r="H129">
        <f>IF(A129="","",YEAR(A129))</f>
        <v/>
      </c>
    </row>
    <row r="130">
      <c r="A130" s="10" t="n"/>
      <c r="B130" s="9" t="n"/>
      <c r="C130" s="9" t="n"/>
      <c r="D130" s="14" t="n"/>
      <c r="E130" s="11" t="n"/>
      <c r="F130" s="14">
        <f>IF(OR(A130="",D130=""),"",D130*IF(E130="",1,E130))</f>
        <v/>
      </c>
      <c r="G130" s="9" t="n"/>
      <c r="H130">
        <f>IF(A130="","",YEAR(A130))</f>
        <v/>
      </c>
    </row>
    <row r="131">
      <c r="A131" s="10" t="n"/>
      <c r="B131" s="9" t="n"/>
      <c r="C131" s="9" t="n"/>
      <c r="D131" s="14" t="n"/>
      <c r="E131" s="11" t="n"/>
      <c r="F131" s="14">
        <f>IF(OR(A131="",D131=""),"",D131*IF(E131="",1,E131))</f>
        <v/>
      </c>
      <c r="G131" s="9" t="n"/>
      <c r="H131">
        <f>IF(A131="","",YEAR(A131))</f>
        <v/>
      </c>
    </row>
    <row r="132">
      <c r="A132" s="10" t="n"/>
      <c r="B132" s="9" t="n"/>
      <c r="C132" s="9" t="n"/>
      <c r="D132" s="14" t="n"/>
      <c r="E132" s="11" t="n"/>
      <c r="F132" s="14">
        <f>IF(OR(A132="",D132=""),"",D132*IF(E132="",1,E132))</f>
        <v/>
      </c>
      <c r="G132" s="9" t="n"/>
      <c r="H132">
        <f>IF(A132="","",YEAR(A132))</f>
        <v/>
      </c>
    </row>
    <row r="133">
      <c r="A133" s="10" t="n"/>
      <c r="B133" s="9" t="n"/>
      <c r="C133" s="9" t="n"/>
      <c r="D133" s="14" t="n"/>
      <c r="E133" s="11" t="n"/>
      <c r="F133" s="14">
        <f>IF(OR(A133="",D133=""),"",D133*IF(E133="",1,E133))</f>
        <v/>
      </c>
      <c r="G133" s="9" t="n"/>
      <c r="H133">
        <f>IF(A133="","",YEAR(A133))</f>
        <v/>
      </c>
    </row>
    <row r="134">
      <c r="A134" s="10" t="n"/>
      <c r="B134" s="9" t="n"/>
      <c r="C134" s="9" t="n"/>
      <c r="D134" s="14" t="n"/>
      <c r="E134" s="11" t="n"/>
      <c r="F134" s="14">
        <f>IF(OR(A134="",D134=""),"",D134*IF(E134="",1,E134))</f>
        <v/>
      </c>
      <c r="G134" s="9" t="n"/>
      <c r="H134">
        <f>IF(A134="","",YEAR(A134))</f>
        <v/>
      </c>
    </row>
    <row r="135">
      <c r="A135" s="10" t="n"/>
      <c r="B135" s="9" t="n"/>
      <c r="C135" s="9" t="n"/>
      <c r="D135" s="14" t="n"/>
      <c r="E135" s="11" t="n"/>
      <c r="F135" s="14">
        <f>IF(OR(A135="",D135=""),"",D135*IF(E135="",1,E135))</f>
        <v/>
      </c>
      <c r="G135" s="9" t="n"/>
      <c r="H135">
        <f>IF(A135="","",YEAR(A135))</f>
        <v/>
      </c>
    </row>
    <row r="136">
      <c r="A136" s="10" t="n"/>
      <c r="B136" s="9" t="n"/>
      <c r="C136" s="9" t="n"/>
      <c r="D136" s="14" t="n"/>
      <c r="E136" s="11" t="n"/>
      <c r="F136" s="14">
        <f>IF(OR(A136="",D136=""),"",D136*IF(E136="",1,E136))</f>
        <v/>
      </c>
      <c r="G136" s="9" t="n"/>
      <c r="H136">
        <f>IF(A136="","",YEAR(A136))</f>
        <v/>
      </c>
    </row>
    <row r="137">
      <c r="A137" s="10" t="n"/>
      <c r="B137" s="9" t="n"/>
      <c r="C137" s="9" t="n"/>
      <c r="D137" s="14" t="n"/>
      <c r="E137" s="11" t="n"/>
      <c r="F137" s="14">
        <f>IF(OR(A137="",D137=""),"",D137*IF(E137="",1,E137))</f>
        <v/>
      </c>
      <c r="G137" s="9" t="n"/>
      <c r="H137">
        <f>IF(A137="","",YEAR(A137))</f>
        <v/>
      </c>
    </row>
    <row r="138">
      <c r="A138" s="10" t="n"/>
      <c r="B138" s="9" t="n"/>
      <c r="C138" s="9" t="n"/>
      <c r="D138" s="14" t="n"/>
      <c r="E138" s="11" t="n"/>
      <c r="F138" s="14">
        <f>IF(OR(A138="",D138=""),"",D138*IF(E138="",1,E138))</f>
        <v/>
      </c>
      <c r="G138" s="9" t="n"/>
      <c r="H138">
        <f>IF(A138="","",YEAR(A138))</f>
        <v/>
      </c>
    </row>
    <row r="139">
      <c r="A139" s="10" t="n"/>
      <c r="B139" s="9" t="n"/>
      <c r="C139" s="9" t="n"/>
      <c r="D139" s="14" t="n"/>
      <c r="E139" s="11" t="n"/>
      <c r="F139" s="14">
        <f>IF(OR(A139="",D139=""),"",D139*IF(E139="",1,E139))</f>
        <v/>
      </c>
      <c r="G139" s="9" t="n"/>
      <c r="H139">
        <f>IF(A139="","",YEAR(A139))</f>
        <v/>
      </c>
    </row>
    <row r="140">
      <c r="A140" s="10" t="n"/>
      <c r="B140" s="9" t="n"/>
      <c r="C140" s="9" t="n"/>
      <c r="D140" s="14" t="n"/>
      <c r="E140" s="11" t="n"/>
      <c r="F140" s="14">
        <f>IF(OR(A140="",D140=""),"",D140*IF(E140="",1,E140))</f>
        <v/>
      </c>
      <c r="G140" s="9" t="n"/>
      <c r="H140">
        <f>IF(A140="","",YEAR(A140))</f>
        <v/>
      </c>
    </row>
    <row r="141">
      <c r="A141" s="10" t="n"/>
      <c r="B141" s="9" t="n"/>
      <c r="C141" s="9" t="n"/>
      <c r="D141" s="14" t="n"/>
      <c r="E141" s="11" t="n"/>
      <c r="F141" s="14">
        <f>IF(OR(A141="",D141=""),"",D141*IF(E141="",1,E141))</f>
        <v/>
      </c>
      <c r="G141" s="9" t="n"/>
      <c r="H141">
        <f>IF(A141="","",YEAR(A141))</f>
        <v/>
      </c>
    </row>
    <row r="142">
      <c r="A142" s="10" t="n"/>
      <c r="B142" s="9" t="n"/>
      <c r="C142" s="9" t="n"/>
      <c r="D142" s="14" t="n"/>
      <c r="E142" s="11" t="n"/>
      <c r="F142" s="14">
        <f>IF(OR(A142="",D142=""),"",D142*IF(E142="",1,E142))</f>
        <v/>
      </c>
      <c r="G142" s="9" t="n"/>
      <c r="H142">
        <f>IF(A142="","",YEAR(A142))</f>
        <v/>
      </c>
    </row>
    <row r="143">
      <c r="A143" s="10" t="n"/>
      <c r="B143" s="9" t="n"/>
      <c r="C143" s="9" t="n"/>
      <c r="D143" s="14" t="n"/>
      <c r="E143" s="11" t="n"/>
      <c r="F143" s="14">
        <f>IF(OR(A143="",D143=""),"",D143*IF(E143="",1,E143))</f>
        <v/>
      </c>
      <c r="G143" s="9" t="n"/>
      <c r="H143">
        <f>IF(A143="","",YEAR(A143))</f>
        <v/>
      </c>
    </row>
    <row r="144">
      <c r="A144" s="10" t="n"/>
      <c r="B144" s="9" t="n"/>
      <c r="C144" s="9" t="n"/>
      <c r="D144" s="14" t="n"/>
      <c r="E144" s="11" t="n"/>
      <c r="F144" s="14">
        <f>IF(OR(A144="",D144=""),"",D144*IF(E144="",1,E144))</f>
        <v/>
      </c>
      <c r="G144" s="9" t="n"/>
      <c r="H144">
        <f>IF(A144="","",YEAR(A144))</f>
        <v/>
      </c>
    </row>
    <row r="145">
      <c r="A145" s="10" t="n"/>
      <c r="B145" s="9" t="n"/>
      <c r="C145" s="9" t="n"/>
      <c r="D145" s="14" t="n"/>
      <c r="E145" s="11" t="n"/>
      <c r="F145" s="14">
        <f>IF(OR(A145="",D145=""),"",D145*IF(E145="",1,E145))</f>
        <v/>
      </c>
      <c r="G145" s="9" t="n"/>
      <c r="H145">
        <f>IF(A145="","",YEAR(A145))</f>
        <v/>
      </c>
    </row>
    <row r="146">
      <c r="A146" s="10" t="n"/>
      <c r="B146" s="9" t="n"/>
      <c r="C146" s="9" t="n"/>
      <c r="D146" s="14" t="n"/>
      <c r="E146" s="11" t="n"/>
      <c r="F146" s="14">
        <f>IF(OR(A146="",D146=""),"",D146*IF(E146="",1,E146))</f>
        <v/>
      </c>
      <c r="G146" s="9" t="n"/>
      <c r="H146">
        <f>IF(A146="","",YEAR(A146))</f>
        <v/>
      </c>
    </row>
    <row r="147">
      <c r="A147" s="10" t="n"/>
      <c r="B147" s="9" t="n"/>
      <c r="C147" s="9" t="n"/>
      <c r="D147" s="14" t="n"/>
      <c r="E147" s="11" t="n"/>
      <c r="F147" s="14">
        <f>IF(OR(A147="",D147=""),"",D147*IF(E147="",1,E147))</f>
        <v/>
      </c>
      <c r="G147" s="9" t="n"/>
      <c r="H147">
        <f>IF(A147="","",YEAR(A147))</f>
        <v/>
      </c>
    </row>
    <row r="148">
      <c r="A148" s="10" t="n"/>
      <c r="B148" s="9" t="n"/>
      <c r="C148" s="9" t="n"/>
      <c r="D148" s="14" t="n"/>
      <c r="E148" s="11" t="n"/>
      <c r="F148" s="14">
        <f>IF(OR(A148="",D148=""),"",D148*IF(E148="",1,E148))</f>
        <v/>
      </c>
      <c r="G148" s="9" t="n"/>
      <c r="H148">
        <f>IF(A148="","",YEAR(A148))</f>
        <v/>
      </c>
    </row>
    <row r="149">
      <c r="A149" s="10" t="n"/>
      <c r="B149" s="9" t="n"/>
      <c r="C149" s="9" t="n"/>
      <c r="D149" s="14" t="n"/>
      <c r="E149" s="11" t="n"/>
      <c r="F149" s="14">
        <f>IF(OR(A149="",D149=""),"",D149*IF(E149="",1,E149))</f>
        <v/>
      </c>
      <c r="G149" s="9" t="n"/>
      <c r="H149">
        <f>IF(A149="","",YEAR(A149))</f>
        <v/>
      </c>
    </row>
    <row r="150">
      <c r="A150" s="10" t="n"/>
      <c r="B150" s="9" t="n"/>
      <c r="C150" s="9" t="n"/>
      <c r="D150" s="14" t="n"/>
      <c r="E150" s="11" t="n"/>
      <c r="F150" s="14">
        <f>IF(OR(A150="",D150=""),"",D150*IF(E150="",1,E150))</f>
        <v/>
      </c>
      <c r="G150" s="9" t="n"/>
      <c r="H150">
        <f>IF(A150="","",YEAR(A150))</f>
        <v/>
      </c>
    </row>
    <row r="151">
      <c r="A151" s="10" t="n"/>
      <c r="B151" s="9" t="n"/>
      <c r="C151" s="9" t="n"/>
      <c r="D151" s="14" t="n"/>
      <c r="E151" s="11" t="n"/>
      <c r="F151" s="14">
        <f>IF(OR(A151="",D151=""),"",D151*IF(E151="",1,E151))</f>
        <v/>
      </c>
      <c r="G151" s="9" t="n"/>
      <c r="H151">
        <f>IF(A151="","",YEAR(A151))</f>
        <v/>
      </c>
    </row>
    <row r="152">
      <c r="A152" s="10" t="n"/>
      <c r="B152" s="9" t="n"/>
      <c r="C152" s="9" t="n"/>
      <c r="D152" s="14" t="n"/>
      <c r="E152" s="11" t="n"/>
      <c r="F152" s="14">
        <f>IF(OR(A152="",D152=""),"",D152*IF(E152="",1,E152))</f>
        <v/>
      </c>
      <c r="G152" s="9" t="n"/>
      <c r="H152">
        <f>IF(A152="","",YEAR(A152))</f>
        <v/>
      </c>
    </row>
    <row r="153">
      <c r="A153" s="10" t="n"/>
      <c r="B153" s="9" t="n"/>
      <c r="C153" s="9" t="n"/>
      <c r="D153" s="14" t="n"/>
      <c r="E153" s="11" t="n"/>
      <c r="F153" s="14">
        <f>IF(OR(A153="",D153=""),"",D153*IF(E153="",1,E153))</f>
        <v/>
      </c>
      <c r="G153" s="9" t="n"/>
      <c r="H153">
        <f>IF(A153="","",YEAR(A153))</f>
        <v/>
      </c>
    </row>
    <row r="154">
      <c r="A154" s="10" t="n"/>
      <c r="B154" s="9" t="n"/>
      <c r="C154" s="9" t="n"/>
      <c r="D154" s="14" t="n"/>
      <c r="E154" s="11" t="n"/>
      <c r="F154" s="14">
        <f>IF(OR(A154="",D154=""),"",D154*IF(E154="",1,E154))</f>
        <v/>
      </c>
      <c r="G154" s="9" t="n"/>
      <c r="H154">
        <f>IF(A154="","",YEAR(A154))</f>
        <v/>
      </c>
    </row>
    <row r="155">
      <c r="A155" s="10" t="n"/>
      <c r="B155" s="9" t="n"/>
      <c r="C155" s="9" t="n"/>
      <c r="D155" s="14" t="n"/>
      <c r="E155" s="11" t="n"/>
      <c r="F155" s="14">
        <f>IF(OR(A155="",D155=""),"",D155*IF(E155="",1,E155))</f>
        <v/>
      </c>
      <c r="G155" s="9" t="n"/>
      <c r="H155">
        <f>IF(A155="","",YEAR(A155))</f>
        <v/>
      </c>
    </row>
    <row r="156">
      <c r="A156" s="10" t="n"/>
      <c r="B156" s="9" t="n"/>
      <c r="C156" s="9" t="n"/>
      <c r="D156" s="14" t="n"/>
      <c r="E156" s="11" t="n"/>
      <c r="F156" s="14">
        <f>IF(OR(A156="",D156=""),"",D156*IF(E156="",1,E156))</f>
        <v/>
      </c>
      <c r="G156" s="9" t="n"/>
      <c r="H156">
        <f>IF(A156="","",YEAR(A156))</f>
        <v/>
      </c>
    </row>
    <row r="157">
      <c r="A157" s="10" t="n"/>
      <c r="B157" s="9" t="n"/>
      <c r="C157" s="9" t="n"/>
      <c r="D157" s="14" t="n"/>
      <c r="E157" s="11" t="n"/>
      <c r="F157" s="14">
        <f>IF(OR(A157="",D157=""),"",D157*IF(E157="",1,E157))</f>
        <v/>
      </c>
      <c r="G157" s="9" t="n"/>
      <c r="H157">
        <f>IF(A157="","",YEAR(A157))</f>
        <v/>
      </c>
    </row>
    <row r="158">
      <c r="A158" s="10" t="n"/>
      <c r="B158" s="9" t="n"/>
      <c r="C158" s="9" t="n"/>
      <c r="D158" s="14" t="n"/>
      <c r="E158" s="11" t="n"/>
      <c r="F158" s="14">
        <f>IF(OR(A158="",D158=""),"",D158*IF(E158="",1,E158))</f>
        <v/>
      </c>
      <c r="G158" s="9" t="n"/>
      <c r="H158">
        <f>IF(A158="","",YEAR(A158))</f>
        <v/>
      </c>
    </row>
    <row r="159">
      <c r="A159" s="10" t="n"/>
      <c r="B159" s="9" t="n"/>
      <c r="C159" s="9" t="n"/>
      <c r="D159" s="14" t="n"/>
      <c r="E159" s="11" t="n"/>
      <c r="F159" s="14">
        <f>IF(OR(A159="",D159=""),"",D159*IF(E159="",1,E159))</f>
        <v/>
      </c>
      <c r="G159" s="9" t="n"/>
      <c r="H159">
        <f>IF(A159="","",YEAR(A159))</f>
        <v/>
      </c>
    </row>
    <row r="160">
      <c r="A160" s="10" t="n"/>
      <c r="B160" s="9" t="n"/>
      <c r="C160" s="9" t="n"/>
      <c r="D160" s="14" t="n"/>
      <c r="E160" s="11" t="n"/>
      <c r="F160" s="14">
        <f>IF(OR(A160="",D160=""),"",D160*IF(E160="",1,E160))</f>
        <v/>
      </c>
      <c r="G160" s="9" t="n"/>
      <c r="H160">
        <f>IF(A160="","",YEAR(A160))</f>
        <v/>
      </c>
    </row>
    <row r="161">
      <c r="A161" s="10" t="n"/>
      <c r="B161" s="9" t="n"/>
      <c r="C161" s="9" t="n"/>
      <c r="D161" s="14" t="n"/>
      <c r="E161" s="11" t="n"/>
      <c r="F161" s="14">
        <f>IF(OR(A161="",D161=""),"",D161*IF(E161="",1,E161))</f>
        <v/>
      </c>
      <c r="G161" s="9" t="n"/>
      <c r="H161">
        <f>IF(A161="","",YEAR(A161))</f>
        <v/>
      </c>
    </row>
    <row r="162">
      <c r="A162" s="10" t="n"/>
      <c r="B162" s="9" t="n"/>
      <c r="C162" s="9" t="n"/>
      <c r="D162" s="14" t="n"/>
      <c r="E162" s="11" t="n"/>
      <c r="F162" s="14">
        <f>IF(OR(A162="",D162=""),"",D162*IF(E162="",1,E162))</f>
        <v/>
      </c>
      <c r="G162" s="9" t="n"/>
      <c r="H162">
        <f>IF(A162="","",YEAR(A162))</f>
        <v/>
      </c>
    </row>
    <row r="163">
      <c r="A163" s="10" t="n"/>
      <c r="B163" s="9" t="n"/>
      <c r="C163" s="9" t="n"/>
      <c r="D163" s="14" t="n"/>
      <c r="E163" s="11" t="n"/>
      <c r="F163" s="14">
        <f>IF(OR(A163="",D163=""),"",D163*IF(E163="",1,E163))</f>
        <v/>
      </c>
      <c r="G163" s="9" t="n"/>
      <c r="H163">
        <f>IF(A163="","",YEAR(A163))</f>
        <v/>
      </c>
    </row>
    <row r="164">
      <c r="A164" s="10" t="n"/>
      <c r="B164" s="9" t="n"/>
      <c r="C164" s="9" t="n"/>
      <c r="D164" s="14" t="n"/>
      <c r="E164" s="11" t="n"/>
      <c r="F164" s="14">
        <f>IF(OR(A164="",D164=""),"",D164*IF(E164="",1,E164))</f>
        <v/>
      </c>
      <c r="G164" s="9" t="n"/>
      <c r="H164">
        <f>IF(A164="","",YEAR(A164))</f>
        <v/>
      </c>
    </row>
    <row r="165">
      <c r="A165" s="10" t="n"/>
      <c r="B165" s="9" t="n"/>
      <c r="C165" s="9" t="n"/>
      <c r="D165" s="14" t="n"/>
      <c r="E165" s="11" t="n"/>
      <c r="F165" s="14">
        <f>IF(OR(A165="",D165=""),"",D165*IF(E165="",1,E165))</f>
        <v/>
      </c>
      <c r="G165" s="9" t="n"/>
      <c r="H165">
        <f>IF(A165="","",YEAR(A165))</f>
        <v/>
      </c>
    </row>
    <row r="166">
      <c r="A166" s="10" t="n"/>
      <c r="B166" s="9" t="n"/>
      <c r="C166" s="9" t="n"/>
      <c r="D166" s="14" t="n"/>
      <c r="E166" s="11" t="n"/>
      <c r="F166" s="14">
        <f>IF(OR(A166="",D166=""),"",D166*IF(E166="",1,E166))</f>
        <v/>
      </c>
      <c r="G166" s="9" t="n"/>
      <c r="H166">
        <f>IF(A166="","",YEAR(A166))</f>
        <v/>
      </c>
    </row>
    <row r="167">
      <c r="A167" s="10" t="n"/>
      <c r="B167" s="9" t="n"/>
      <c r="C167" s="9" t="n"/>
      <c r="D167" s="14" t="n"/>
      <c r="E167" s="11" t="n"/>
      <c r="F167" s="14">
        <f>IF(OR(A167="",D167=""),"",D167*IF(E167="",1,E167))</f>
        <v/>
      </c>
      <c r="G167" s="9" t="n"/>
      <c r="H167">
        <f>IF(A167="","",YEAR(A167))</f>
        <v/>
      </c>
    </row>
    <row r="168">
      <c r="A168" s="10" t="n"/>
      <c r="B168" s="9" t="n"/>
      <c r="C168" s="9" t="n"/>
      <c r="D168" s="14" t="n"/>
      <c r="E168" s="11" t="n"/>
      <c r="F168" s="14">
        <f>IF(OR(A168="",D168=""),"",D168*IF(E168="",1,E168))</f>
        <v/>
      </c>
      <c r="G168" s="9" t="n"/>
      <c r="H168">
        <f>IF(A168="","",YEAR(A168))</f>
        <v/>
      </c>
    </row>
    <row r="169">
      <c r="A169" s="10" t="n"/>
      <c r="B169" s="9" t="n"/>
      <c r="C169" s="9" t="n"/>
      <c r="D169" s="14" t="n"/>
      <c r="E169" s="11" t="n"/>
      <c r="F169" s="14">
        <f>IF(OR(A169="",D169=""),"",D169*IF(E169="",1,E169))</f>
        <v/>
      </c>
      <c r="G169" s="9" t="n"/>
      <c r="H169">
        <f>IF(A169="","",YEAR(A169))</f>
        <v/>
      </c>
    </row>
    <row r="170">
      <c r="A170" s="10" t="n"/>
      <c r="B170" s="9" t="n"/>
      <c r="C170" s="9" t="n"/>
      <c r="D170" s="14" t="n"/>
      <c r="E170" s="11" t="n"/>
      <c r="F170" s="14">
        <f>IF(OR(A170="",D170=""),"",D170*IF(E170="",1,E170))</f>
        <v/>
      </c>
      <c r="G170" s="9" t="n"/>
      <c r="H170">
        <f>IF(A170="","",YEAR(A170))</f>
        <v/>
      </c>
    </row>
    <row r="171">
      <c r="A171" s="10" t="n"/>
      <c r="B171" s="9" t="n"/>
      <c r="C171" s="9" t="n"/>
      <c r="D171" s="14" t="n"/>
      <c r="E171" s="11" t="n"/>
      <c r="F171" s="14">
        <f>IF(OR(A171="",D171=""),"",D171*IF(E171="",1,E171))</f>
        <v/>
      </c>
      <c r="G171" s="9" t="n"/>
      <c r="H171">
        <f>IF(A171="","",YEAR(A171))</f>
        <v/>
      </c>
    </row>
    <row r="172">
      <c r="A172" s="10" t="n"/>
      <c r="B172" s="9" t="n"/>
      <c r="C172" s="9" t="n"/>
      <c r="D172" s="14" t="n"/>
      <c r="E172" s="11" t="n"/>
      <c r="F172" s="14">
        <f>IF(OR(A172="",D172=""),"",D172*IF(E172="",1,E172))</f>
        <v/>
      </c>
      <c r="G172" s="9" t="n"/>
      <c r="H172">
        <f>IF(A172="","",YEAR(A172))</f>
        <v/>
      </c>
    </row>
    <row r="173">
      <c r="A173" s="10" t="n"/>
      <c r="B173" s="9" t="n"/>
      <c r="C173" s="9" t="n"/>
      <c r="D173" s="14" t="n"/>
      <c r="E173" s="11" t="n"/>
      <c r="F173" s="14">
        <f>IF(OR(A173="",D173=""),"",D173*IF(E173="",1,E173))</f>
        <v/>
      </c>
      <c r="G173" s="9" t="n"/>
      <c r="H173">
        <f>IF(A173="","",YEAR(A173))</f>
        <v/>
      </c>
    </row>
    <row r="174">
      <c r="A174" s="10" t="n"/>
      <c r="B174" s="9" t="n"/>
      <c r="C174" s="9" t="n"/>
      <c r="D174" s="14" t="n"/>
      <c r="E174" s="11" t="n"/>
      <c r="F174" s="14">
        <f>IF(OR(A174="",D174=""),"",D174*IF(E174="",1,E174))</f>
        <v/>
      </c>
      <c r="G174" s="9" t="n"/>
      <c r="H174">
        <f>IF(A174="","",YEAR(A174))</f>
        <v/>
      </c>
    </row>
    <row r="175">
      <c r="A175" s="10" t="n"/>
      <c r="B175" s="9" t="n"/>
      <c r="C175" s="9" t="n"/>
      <c r="D175" s="14" t="n"/>
      <c r="E175" s="11" t="n"/>
      <c r="F175" s="14">
        <f>IF(OR(A175="",D175=""),"",D175*IF(E175="",1,E175))</f>
        <v/>
      </c>
      <c r="G175" s="9" t="n"/>
      <c r="H175">
        <f>IF(A175="","",YEAR(A175))</f>
        <v/>
      </c>
    </row>
    <row r="176">
      <c r="A176" s="10" t="n"/>
      <c r="B176" s="9" t="n"/>
      <c r="C176" s="9" t="n"/>
      <c r="D176" s="14" t="n"/>
      <c r="E176" s="11" t="n"/>
      <c r="F176" s="14">
        <f>IF(OR(A176="",D176=""),"",D176*IF(E176="",1,E176))</f>
        <v/>
      </c>
      <c r="G176" s="9" t="n"/>
      <c r="H176">
        <f>IF(A176="","",YEAR(A176))</f>
        <v/>
      </c>
    </row>
    <row r="177">
      <c r="A177" s="10" t="n"/>
      <c r="B177" s="9" t="n"/>
      <c r="C177" s="9" t="n"/>
      <c r="D177" s="14" t="n"/>
      <c r="E177" s="11" t="n"/>
      <c r="F177" s="14">
        <f>IF(OR(A177="",D177=""),"",D177*IF(E177="",1,E177))</f>
        <v/>
      </c>
      <c r="G177" s="9" t="n"/>
      <c r="H177">
        <f>IF(A177="","",YEAR(A177))</f>
        <v/>
      </c>
    </row>
    <row r="178">
      <c r="A178" s="10" t="n"/>
      <c r="B178" s="9" t="n"/>
      <c r="C178" s="9" t="n"/>
      <c r="D178" s="14" t="n"/>
      <c r="E178" s="11" t="n"/>
      <c r="F178" s="14">
        <f>IF(OR(A178="",D178=""),"",D178*IF(E178="",1,E178))</f>
        <v/>
      </c>
      <c r="G178" s="9" t="n"/>
      <c r="H178">
        <f>IF(A178="","",YEAR(A178))</f>
        <v/>
      </c>
    </row>
    <row r="179">
      <c r="A179" s="10" t="n"/>
      <c r="B179" s="9" t="n"/>
      <c r="C179" s="9" t="n"/>
      <c r="D179" s="14" t="n"/>
      <c r="E179" s="11" t="n"/>
      <c r="F179" s="14">
        <f>IF(OR(A179="",D179=""),"",D179*IF(E179="",1,E179))</f>
        <v/>
      </c>
      <c r="G179" s="9" t="n"/>
      <c r="H179">
        <f>IF(A179="","",YEAR(A179))</f>
        <v/>
      </c>
    </row>
    <row r="180">
      <c r="A180" s="10" t="n"/>
      <c r="B180" s="9" t="n"/>
      <c r="C180" s="9" t="n"/>
      <c r="D180" s="14" t="n"/>
      <c r="E180" s="11" t="n"/>
      <c r="F180" s="14">
        <f>IF(OR(A180="",D180=""),"",D180*IF(E180="",1,E180))</f>
        <v/>
      </c>
      <c r="G180" s="9" t="n"/>
      <c r="H180">
        <f>IF(A180="","",YEAR(A180))</f>
        <v/>
      </c>
    </row>
    <row r="181">
      <c r="A181" s="10" t="n"/>
      <c r="B181" s="9" t="n"/>
      <c r="C181" s="9" t="n"/>
      <c r="D181" s="14" t="n"/>
      <c r="E181" s="11" t="n"/>
      <c r="F181" s="14">
        <f>IF(OR(A181="",D181=""),"",D181*IF(E181="",1,E181))</f>
        <v/>
      </c>
      <c r="G181" s="9" t="n"/>
      <c r="H181">
        <f>IF(A181="","",YEAR(A181))</f>
        <v/>
      </c>
    </row>
    <row r="182">
      <c r="A182" s="10" t="n"/>
      <c r="B182" s="9" t="n"/>
      <c r="C182" s="9" t="n"/>
      <c r="D182" s="14" t="n"/>
      <c r="E182" s="11" t="n"/>
      <c r="F182" s="14">
        <f>IF(OR(A182="",D182=""),"",D182*IF(E182="",1,E182))</f>
        <v/>
      </c>
      <c r="G182" s="9" t="n"/>
      <c r="H182">
        <f>IF(A182="","",YEAR(A182))</f>
        <v/>
      </c>
    </row>
    <row r="183">
      <c r="A183" s="10" t="n"/>
      <c r="B183" s="9" t="n"/>
      <c r="C183" s="9" t="n"/>
      <c r="D183" s="14" t="n"/>
      <c r="E183" s="11" t="n"/>
      <c r="F183" s="14">
        <f>IF(OR(A183="",D183=""),"",D183*IF(E183="",1,E183))</f>
        <v/>
      </c>
      <c r="G183" s="9" t="n"/>
      <c r="H183">
        <f>IF(A183="","",YEAR(A183))</f>
        <v/>
      </c>
    </row>
    <row r="184">
      <c r="A184" s="10" t="n"/>
      <c r="B184" s="9" t="n"/>
      <c r="C184" s="9" t="n"/>
      <c r="D184" s="14" t="n"/>
      <c r="E184" s="11" t="n"/>
      <c r="F184" s="14">
        <f>IF(OR(A184="",D184=""),"",D184*IF(E184="",1,E184))</f>
        <v/>
      </c>
      <c r="G184" s="9" t="n"/>
      <c r="H184">
        <f>IF(A184="","",YEAR(A184))</f>
        <v/>
      </c>
    </row>
    <row r="185">
      <c r="A185" s="10" t="n"/>
      <c r="B185" s="9" t="n"/>
      <c r="C185" s="9" t="n"/>
      <c r="D185" s="14" t="n"/>
      <c r="E185" s="11" t="n"/>
      <c r="F185" s="14">
        <f>IF(OR(A185="",D185=""),"",D185*IF(E185="",1,E185))</f>
        <v/>
      </c>
      <c r="G185" s="9" t="n"/>
      <c r="H185">
        <f>IF(A185="","",YEAR(A185))</f>
        <v/>
      </c>
    </row>
    <row r="186">
      <c r="A186" s="10" t="n"/>
      <c r="B186" s="9" t="n"/>
      <c r="C186" s="9" t="n"/>
      <c r="D186" s="14" t="n"/>
      <c r="E186" s="11" t="n"/>
      <c r="F186" s="14">
        <f>IF(OR(A186="",D186=""),"",D186*IF(E186="",1,E186))</f>
        <v/>
      </c>
      <c r="G186" s="9" t="n"/>
      <c r="H186">
        <f>IF(A186="","",YEAR(A186))</f>
        <v/>
      </c>
    </row>
    <row r="187">
      <c r="A187" s="10" t="n"/>
      <c r="B187" s="9" t="n"/>
      <c r="C187" s="9" t="n"/>
      <c r="D187" s="14" t="n"/>
      <c r="E187" s="11" t="n"/>
      <c r="F187" s="14">
        <f>IF(OR(A187="",D187=""),"",D187*IF(E187="",1,E187))</f>
        <v/>
      </c>
      <c r="G187" s="9" t="n"/>
      <c r="H187">
        <f>IF(A187="","",YEAR(A187))</f>
        <v/>
      </c>
    </row>
    <row r="188">
      <c r="A188" s="10" t="n"/>
      <c r="B188" s="9" t="n"/>
      <c r="C188" s="9" t="n"/>
      <c r="D188" s="14" t="n"/>
      <c r="E188" s="11" t="n"/>
      <c r="F188" s="14">
        <f>IF(OR(A188="",D188=""),"",D188*IF(E188="",1,E188))</f>
        <v/>
      </c>
      <c r="G188" s="9" t="n"/>
      <c r="H188">
        <f>IF(A188="","",YEAR(A188))</f>
        <v/>
      </c>
    </row>
    <row r="189">
      <c r="A189" s="10" t="n"/>
      <c r="B189" s="9" t="n"/>
      <c r="C189" s="9" t="n"/>
      <c r="D189" s="14" t="n"/>
      <c r="E189" s="11" t="n"/>
      <c r="F189" s="14">
        <f>IF(OR(A189="",D189=""),"",D189*IF(E189="",1,E189))</f>
        <v/>
      </c>
      <c r="G189" s="9" t="n"/>
      <c r="H189">
        <f>IF(A189="","",YEAR(A189))</f>
        <v/>
      </c>
    </row>
    <row r="190">
      <c r="A190" s="10" t="n"/>
      <c r="B190" s="9" t="n"/>
      <c r="C190" s="9" t="n"/>
      <c r="D190" s="14" t="n"/>
      <c r="E190" s="11" t="n"/>
      <c r="F190" s="14">
        <f>IF(OR(A190="",D190=""),"",D190*IF(E190="",1,E190))</f>
        <v/>
      </c>
      <c r="G190" s="9" t="n"/>
      <c r="H190">
        <f>IF(A190="","",YEAR(A190))</f>
        <v/>
      </c>
    </row>
    <row r="191">
      <c r="A191" s="10" t="n"/>
      <c r="B191" s="9" t="n"/>
      <c r="C191" s="9" t="n"/>
      <c r="D191" s="14" t="n"/>
      <c r="E191" s="11" t="n"/>
      <c r="F191" s="14">
        <f>IF(OR(A191="",D191=""),"",D191*IF(E191="",1,E191))</f>
        <v/>
      </c>
      <c r="G191" s="9" t="n"/>
      <c r="H191">
        <f>IF(A191="","",YEAR(A191))</f>
        <v/>
      </c>
    </row>
    <row r="192">
      <c r="A192" s="10" t="n"/>
      <c r="B192" s="9" t="n"/>
      <c r="C192" s="9" t="n"/>
      <c r="D192" s="14" t="n"/>
      <c r="E192" s="11" t="n"/>
      <c r="F192" s="14">
        <f>IF(OR(A192="",D192=""),"",D192*IF(E192="",1,E192))</f>
        <v/>
      </c>
      <c r="G192" s="9" t="n"/>
      <c r="H192">
        <f>IF(A192="","",YEAR(A192))</f>
        <v/>
      </c>
    </row>
    <row r="193">
      <c r="A193" s="10" t="n"/>
      <c r="B193" s="9" t="n"/>
      <c r="C193" s="9" t="n"/>
      <c r="D193" s="14" t="n"/>
      <c r="E193" s="11" t="n"/>
      <c r="F193" s="14">
        <f>IF(OR(A193="",D193=""),"",D193*IF(E193="",1,E193))</f>
        <v/>
      </c>
      <c r="G193" s="9" t="n"/>
      <c r="H193">
        <f>IF(A193="","",YEAR(A193))</f>
        <v/>
      </c>
    </row>
    <row r="194">
      <c r="A194" s="10" t="n"/>
      <c r="B194" s="9" t="n"/>
      <c r="C194" s="9" t="n"/>
      <c r="D194" s="14" t="n"/>
      <c r="E194" s="11" t="n"/>
      <c r="F194" s="14">
        <f>IF(OR(A194="",D194=""),"",D194*IF(E194="",1,E194))</f>
        <v/>
      </c>
      <c r="G194" s="9" t="n"/>
      <c r="H194">
        <f>IF(A194="","",YEAR(A194))</f>
        <v/>
      </c>
    </row>
    <row r="195">
      <c r="A195" s="10" t="n"/>
      <c r="B195" s="9" t="n"/>
      <c r="C195" s="9" t="n"/>
      <c r="D195" s="14" t="n"/>
      <c r="E195" s="11" t="n"/>
      <c r="F195" s="14">
        <f>IF(OR(A195="",D195=""),"",D195*IF(E195="",1,E195))</f>
        <v/>
      </c>
      <c r="G195" s="9" t="n"/>
      <c r="H195">
        <f>IF(A195="","",YEAR(A195))</f>
        <v/>
      </c>
    </row>
    <row r="196">
      <c r="A196" s="10" t="n"/>
      <c r="B196" s="9" t="n"/>
      <c r="C196" s="9" t="n"/>
      <c r="D196" s="14" t="n"/>
      <c r="E196" s="11" t="n"/>
      <c r="F196" s="14">
        <f>IF(OR(A196="",D196=""),"",D196*IF(E196="",1,E196))</f>
        <v/>
      </c>
      <c r="G196" s="9" t="n"/>
      <c r="H196">
        <f>IF(A196="","",YEAR(A196))</f>
        <v/>
      </c>
    </row>
    <row r="197">
      <c r="A197" s="10" t="n"/>
      <c r="B197" s="9" t="n"/>
      <c r="C197" s="9" t="n"/>
      <c r="D197" s="14" t="n"/>
      <c r="E197" s="11" t="n"/>
      <c r="F197" s="14">
        <f>IF(OR(A197="",D197=""),"",D197*IF(E197="",1,E197))</f>
        <v/>
      </c>
      <c r="G197" s="9" t="n"/>
      <c r="H197">
        <f>IF(A197="","",YEAR(A197))</f>
        <v/>
      </c>
    </row>
    <row r="198">
      <c r="A198" s="10" t="n"/>
      <c r="B198" s="9" t="n"/>
      <c r="C198" s="9" t="n"/>
      <c r="D198" s="14" t="n"/>
      <c r="E198" s="11" t="n"/>
      <c r="F198" s="14">
        <f>IF(OR(A198="",D198=""),"",D198*IF(E198="",1,E198))</f>
        <v/>
      </c>
      <c r="G198" s="9" t="n"/>
      <c r="H198">
        <f>IF(A198="","",YEAR(A198))</f>
        <v/>
      </c>
    </row>
    <row r="199">
      <c r="A199" s="10" t="n"/>
      <c r="B199" s="9" t="n"/>
      <c r="C199" s="9" t="n"/>
      <c r="D199" s="14" t="n"/>
      <c r="E199" s="11" t="n"/>
      <c r="F199" s="14">
        <f>IF(OR(A199="",D199=""),"",D199*IF(E199="",1,E199))</f>
        <v/>
      </c>
      <c r="G199" s="9" t="n"/>
      <c r="H199">
        <f>IF(A199="","",YEAR(A199))</f>
        <v/>
      </c>
    </row>
    <row r="200">
      <c r="A200" s="10" t="n"/>
      <c r="B200" s="9" t="n"/>
      <c r="C200" s="9" t="n"/>
      <c r="D200" s="14" t="n"/>
      <c r="E200" s="11" t="n"/>
      <c r="F200" s="14">
        <f>IF(OR(A200="",D200=""),"",D200*IF(E200="",1,E200))</f>
        <v/>
      </c>
      <c r="G200" s="9" t="n"/>
      <c r="H200">
        <f>IF(A200="","",YEAR(A200))</f>
        <v/>
      </c>
    </row>
    <row r="201">
      <c r="A201" s="10" t="n"/>
      <c r="B201" s="9" t="n"/>
      <c r="C201" s="9" t="n"/>
      <c r="D201" s="14" t="n"/>
      <c r="E201" s="11" t="n"/>
      <c r="F201" s="14">
        <f>IF(OR(A201="",D201=""),"",D201*IF(E201="",1,E201))</f>
        <v/>
      </c>
      <c r="G201" s="9" t="n"/>
      <c r="H201">
        <f>IF(A201="","",YEAR(A201))</f>
        <v/>
      </c>
    </row>
    <row r="202">
      <c r="A202" s="10" t="n"/>
      <c r="B202" s="9" t="n"/>
      <c r="C202" s="9" t="n"/>
      <c r="D202" s="14" t="n"/>
      <c r="E202" s="11" t="n"/>
      <c r="F202" s="14">
        <f>IF(OR(A202="",D202=""),"",D202*IF(E202="",1,E202))</f>
        <v/>
      </c>
      <c r="G202" s="9" t="n"/>
      <c r="H202">
        <f>IF(A202="","",YEAR(A202))</f>
        <v/>
      </c>
    </row>
    <row r="203">
      <c r="A203" s="10" t="n"/>
      <c r="B203" s="9" t="n"/>
      <c r="C203" s="9" t="n"/>
      <c r="D203" s="14" t="n"/>
      <c r="E203" s="11" t="n"/>
      <c r="F203" s="14">
        <f>IF(OR(A203="",D203=""),"",D203*IF(E203="",1,E203))</f>
        <v/>
      </c>
      <c r="G203" s="9" t="n"/>
      <c r="H203">
        <f>IF(A203="","",YEAR(A203))</f>
        <v/>
      </c>
    </row>
    <row r="204">
      <c r="A204" s="10" t="n"/>
      <c r="B204" s="9" t="n"/>
      <c r="C204" s="9" t="n"/>
      <c r="D204" s="14" t="n"/>
      <c r="E204" s="11" t="n"/>
      <c r="F204" s="14">
        <f>IF(OR(A204="",D204=""),"",D204*IF(E204="",1,E204))</f>
        <v/>
      </c>
      <c r="G204" s="9" t="n"/>
      <c r="H204">
        <f>IF(A204="","",YEAR(A204))</f>
        <v/>
      </c>
    </row>
    <row r="205">
      <c r="A205" s="10" t="n"/>
      <c r="B205" s="9" t="n"/>
      <c r="C205" s="9" t="n"/>
      <c r="D205" s="14" t="n"/>
      <c r="E205" s="11" t="n"/>
      <c r="F205" s="14">
        <f>IF(OR(A205="",D205=""),"",D205*IF(E205="",1,E205))</f>
        <v/>
      </c>
      <c r="G205" s="9" t="n"/>
      <c r="H205">
        <f>IF(A205="","",YEAR(A205))</f>
        <v/>
      </c>
    </row>
    <row r="206">
      <c r="A206" s="10" t="n"/>
      <c r="B206" s="9" t="n"/>
      <c r="C206" s="9" t="n"/>
      <c r="D206" s="14" t="n"/>
      <c r="E206" s="11" t="n"/>
      <c r="F206" s="14">
        <f>IF(OR(A206="",D206=""),"",D206*IF(E206="",1,E206))</f>
        <v/>
      </c>
      <c r="G206" s="9" t="n"/>
      <c r="H206">
        <f>IF(A206="","",YEAR(A206))</f>
        <v/>
      </c>
    </row>
    <row r="207">
      <c r="A207" s="10" t="n"/>
      <c r="B207" s="9" t="n"/>
      <c r="C207" s="9" t="n"/>
      <c r="D207" s="14" t="n"/>
      <c r="E207" s="11" t="n"/>
      <c r="F207" s="14">
        <f>IF(OR(A207="",D207=""),"",D207*IF(E207="",1,E207))</f>
        <v/>
      </c>
      <c r="G207" s="9" t="n"/>
      <c r="H207">
        <f>IF(A207="","",YEAR(A207))</f>
        <v/>
      </c>
    </row>
    <row r="208">
      <c r="A208" s="10" t="n"/>
      <c r="B208" s="9" t="n"/>
      <c r="C208" s="9" t="n"/>
      <c r="D208" s="14" t="n"/>
      <c r="E208" s="11" t="n"/>
      <c r="F208" s="14">
        <f>IF(OR(A208="",D208=""),"",D208*IF(E208="",1,E208))</f>
        <v/>
      </c>
      <c r="G208" s="9" t="n"/>
      <c r="H208">
        <f>IF(A208="","",YEAR(A208))</f>
        <v/>
      </c>
    </row>
    <row r="209">
      <c r="A209" s="10" t="n"/>
      <c r="B209" s="9" t="n"/>
      <c r="C209" s="9" t="n"/>
      <c r="D209" s="14" t="n"/>
      <c r="E209" s="11" t="n"/>
      <c r="F209" s="14">
        <f>IF(OR(A209="",D209=""),"",D209*IF(E209="",1,E209))</f>
        <v/>
      </c>
      <c r="G209" s="9" t="n"/>
      <c r="H209">
        <f>IF(A209="","",YEAR(A209))</f>
        <v/>
      </c>
    </row>
    <row r="210">
      <c r="A210" s="10" t="n"/>
      <c r="B210" s="9" t="n"/>
      <c r="C210" s="9" t="n"/>
      <c r="D210" s="14" t="n"/>
      <c r="E210" s="11" t="n"/>
      <c r="F210" s="14">
        <f>IF(OR(A210="",D210=""),"",D210*IF(E210="",1,E210))</f>
        <v/>
      </c>
      <c r="G210" s="9" t="n"/>
      <c r="H210">
        <f>IF(A210="","",YEAR(A210))</f>
        <v/>
      </c>
    </row>
    <row r="211">
      <c r="A211" s="10" t="n"/>
      <c r="B211" s="9" t="n"/>
      <c r="C211" s="9" t="n"/>
      <c r="D211" s="14" t="n"/>
      <c r="E211" s="11" t="n"/>
      <c r="F211" s="14">
        <f>IF(OR(A211="",D211=""),"",D211*IF(E211="",1,E211))</f>
        <v/>
      </c>
      <c r="G211" s="9" t="n"/>
      <c r="H211">
        <f>IF(A211="","",YEAR(A211))</f>
        <v/>
      </c>
    </row>
    <row r="212">
      <c r="A212" s="10" t="n"/>
      <c r="B212" s="9" t="n"/>
      <c r="C212" s="9" t="n"/>
      <c r="D212" s="14" t="n"/>
      <c r="E212" s="11" t="n"/>
      <c r="F212" s="14">
        <f>IF(OR(A212="",D212=""),"",D212*IF(E212="",1,E212))</f>
        <v/>
      </c>
      <c r="G212" s="9" t="n"/>
      <c r="H212">
        <f>IF(A212="","",YEAR(A212))</f>
        <v/>
      </c>
    </row>
    <row r="213">
      <c r="A213" s="10" t="n"/>
      <c r="B213" s="9" t="n"/>
      <c r="C213" s="9" t="n"/>
      <c r="D213" s="14" t="n"/>
      <c r="E213" s="11" t="n"/>
      <c r="F213" s="14">
        <f>IF(OR(A213="",D213=""),"",D213*IF(E213="",1,E213))</f>
        <v/>
      </c>
      <c r="G213" s="9" t="n"/>
      <c r="H213">
        <f>IF(A213="","",YEAR(A213))</f>
        <v/>
      </c>
    </row>
    <row r="214">
      <c r="A214" s="10" t="n"/>
      <c r="B214" s="9" t="n"/>
      <c r="C214" s="9" t="n"/>
      <c r="D214" s="14" t="n"/>
      <c r="E214" s="11" t="n"/>
      <c r="F214" s="14">
        <f>IF(OR(A214="",D214=""),"",D214*IF(E214="",1,E214))</f>
        <v/>
      </c>
      <c r="G214" s="9" t="n"/>
      <c r="H214">
        <f>IF(A214="","",YEAR(A214))</f>
        <v/>
      </c>
    </row>
    <row r="215">
      <c r="A215" s="10" t="n"/>
      <c r="B215" s="9" t="n"/>
      <c r="C215" s="9" t="n"/>
      <c r="D215" s="14" t="n"/>
      <c r="E215" s="11" t="n"/>
      <c r="F215" s="14">
        <f>IF(OR(A215="",D215=""),"",D215*IF(E215="",1,E215))</f>
        <v/>
      </c>
      <c r="G215" s="9" t="n"/>
      <c r="H215">
        <f>IF(A215="","",YEAR(A215))</f>
        <v/>
      </c>
    </row>
    <row r="216">
      <c r="A216" s="10" t="n"/>
      <c r="B216" s="9" t="n"/>
      <c r="C216" s="9" t="n"/>
      <c r="D216" s="14" t="n"/>
      <c r="E216" s="11" t="n"/>
      <c r="F216" s="14">
        <f>IF(OR(A216="",D216=""),"",D216*IF(E216="",1,E216))</f>
        <v/>
      </c>
      <c r="G216" s="9" t="n"/>
      <c r="H216">
        <f>IF(A216="","",YEAR(A216))</f>
        <v/>
      </c>
    </row>
    <row r="217">
      <c r="A217" s="10" t="n"/>
      <c r="B217" s="9" t="n"/>
      <c r="C217" s="9" t="n"/>
      <c r="D217" s="14" t="n"/>
      <c r="E217" s="11" t="n"/>
      <c r="F217" s="14">
        <f>IF(OR(A217="",D217=""),"",D217*IF(E217="",1,E217))</f>
        <v/>
      </c>
      <c r="G217" s="9" t="n"/>
      <c r="H217">
        <f>IF(A217="","",YEAR(A217))</f>
        <v/>
      </c>
    </row>
    <row r="218">
      <c r="A218" s="10" t="n"/>
      <c r="B218" s="9" t="n"/>
      <c r="C218" s="9" t="n"/>
      <c r="D218" s="14" t="n"/>
      <c r="E218" s="11" t="n"/>
      <c r="F218" s="14">
        <f>IF(OR(A218="",D218=""),"",D218*IF(E218="",1,E218))</f>
        <v/>
      </c>
      <c r="G218" s="9" t="n"/>
      <c r="H218">
        <f>IF(A218="","",YEAR(A218))</f>
        <v/>
      </c>
    </row>
    <row r="219">
      <c r="A219" s="10" t="n"/>
      <c r="B219" s="9" t="n"/>
      <c r="C219" s="9" t="n"/>
      <c r="D219" s="14" t="n"/>
      <c r="E219" s="11" t="n"/>
      <c r="F219" s="14">
        <f>IF(OR(A219="",D219=""),"",D219*IF(E219="",1,E219))</f>
        <v/>
      </c>
      <c r="G219" s="9" t="n"/>
      <c r="H219">
        <f>IF(A219="","",YEAR(A219))</f>
        <v/>
      </c>
    </row>
    <row r="220">
      <c r="A220" s="10" t="n"/>
      <c r="B220" s="9" t="n"/>
      <c r="C220" s="9" t="n"/>
      <c r="D220" s="14" t="n"/>
      <c r="E220" s="11" t="n"/>
      <c r="F220" s="14">
        <f>IF(OR(A220="",D220=""),"",D220*IF(E220="",1,E220))</f>
        <v/>
      </c>
      <c r="G220" s="9" t="n"/>
      <c r="H220">
        <f>IF(A220="","",YEAR(A220))</f>
        <v/>
      </c>
    </row>
    <row r="221">
      <c r="A221" s="10" t="n"/>
      <c r="B221" s="9" t="n"/>
      <c r="C221" s="9" t="n"/>
      <c r="D221" s="14" t="n"/>
      <c r="E221" s="11" t="n"/>
      <c r="F221" s="14">
        <f>IF(OR(A221="",D221=""),"",D221*IF(E221="",1,E221))</f>
        <v/>
      </c>
      <c r="G221" s="9" t="n"/>
      <c r="H221">
        <f>IF(A221="","",YEAR(A221))</f>
        <v/>
      </c>
    </row>
    <row r="222">
      <c r="A222" s="10" t="n"/>
      <c r="B222" s="9" t="n"/>
      <c r="C222" s="9" t="n"/>
      <c r="D222" s="14" t="n"/>
      <c r="E222" s="11" t="n"/>
      <c r="F222" s="14">
        <f>IF(OR(A222="",D222=""),"",D222*IF(E222="",1,E222))</f>
        <v/>
      </c>
      <c r="G222" s="9" t="n"/>
      <c r="H222">
        <f>IF(A222="","",YEAR(A222))</f>
        <v/>
      </c>
    </row>
    <row r="223">
      <c r="A223" s="10" t="n"/>
      <c r="B223" s="9" t="n"/>
      <c r="C223" s="9" t="n"/>
      <c r="D223" s="14" t="n"/>
      <c r="E223" s="11" t="n"/>
      <c r="F223" s="14">
        <f>IF(OR(A223="",D223=""),"",D223*IF(E223="",1,E223))</f>
        <v/>
      </c>
      <c r="G223" s="9" t="n"/>
      <c r="H223">
        <f>IF(A223="","",YEAR(A223))</f>
        <v/>
      </c>
    </row>
    <row r="224">
      <c r="A224" s="10" t="n"/>
      <c r="B224" s="9" t="n"/>
      <c r="C224" s="9" t="n"/>
      <c r="D224" s="14" t="n"/>
      <c r="E224" s="11" t="n"/>
      <c r="F224" s="14">
        <f>IF(OR(A224="",D224=""),"",D224*IF(E224="",1,E224))</f>
        <v/>
      </c>
      <c r="G224" s="9" t="n"/>
      <c r="H224">
        <f>IF(A224="","",YEAR(A224))</f>
        <v/>
      </c>
    </row>
    <row r="225">
      <c r="A225" s="10" t="n"/>
      <c r="B225" s="9" t="n"/>
      <c r="C225" s="9" t="n"/>
      <c r="D225" s="14" t="n"/>
      <c r="E225" s="11" t="n"/>
      <c r="F225" s="14">
        <f>IF(OR(A225="",D225=""),"",D225*IF(E225="",1,E225))</f>
        <v/>
      </c>
      <c r="G225" s="9" t="n"/>
      <c r="H225">
        <f>IF(A225="","",YEAR(A225))</f>
        <v/>
      </c>
    </row>
    <row r="226">
      <c r="A226" s="10" t="n"/>
      <c r="B226" s="9" t="n"/>
      <c r="C226" s="9" t="n"/>
      <c r="D226" s="14" t="n"/>
      <c r="E226" s="11" t="n"/>
      <c r="F226" s="14">
        <f>IF(OR(A226="",D226=""),"",D226*IF(E226="",1,E226))</f>
        <v/>
      </c>
      <c r="G226" s="9" t="n"/>
      <c r="H226">
        <f>IF(A226="","",YEAR(A226))</f>
        <v/>
      </c>
    </row>
    <row r="227">
      <c r="A227" s="10" t="n"/>
      <c r="B227" s="9" t="n"/>
      <c r="C227" s="9" t="n"/>
      <c r="D227" s="14" t="n"/>
      <c r="E227" s="11" t="n"/>
      <c r="F227" s="14">
        <f>IF(OR(A227="",D227=""),"",D227*IF(E227="",1,E227))</f>
        <v/>
      </c>
      <c r="G227" s="9" t="n"/>
      <c r="H227">
        <f>IF(A227="","",YEAR(A227))</f>
        <v/>
      </c>
    </row>
    <row r="228">
      <c r="A228" s="10" t="n"/>
      <c r="B228" s="9" t="n"/>
      <c r="C228" s="9" t="n"/>
      <c r="D228" s="14" t="n"/>
      <c r="E228" s="11" t="n"/>
      <c r="F228" s="14">
        <f>IF(OR(A228="",D228=""),"",D228*IF(E228="",1,E228))</f>
        <v/>
      </c>
      <c r="G228" s="9" t="n"/>
      <c r="H228">
        <f>IF(A228="","",YEAR(A228))</f>
        <v/>
      </c>
    </row>
    <row r="229">
      <c r="A229" s="10" t="n"/>
      <c r="B229" s="9" t="n"/>
      <c r="C229" s="9" t="n"/>
      <c r="D229" s="14" t="n"/>
      <c r="E229" s="11" t="n"/>
      <c r="F229" s="14">
        <f>IF(OR(A229="",D229=""),"",D229*IF(E229="",1,E229))</f>
        <v/>
      </c>
      <c r="G229" s="9" t="n"/>
      <c r="H229">
        <f>IF(A229="","",YEAR(A229))</f>
        <v/>
      </c>
    </row>
    <row r="230">
      <c r="A230" s="10" t="n"/>
      <c r="B230" s="9" t="n"/>
      <c r="C230" s="9" t="n"/>
      <c r="D230" s="14" t="n"/>
      <c r="E230" s="11" t="n"/>
      <c r="F230" s="14">
        <f>IF(OR(A230="",D230=""),"",D230*IF(E230="",1,E230))</f>
        <v/>
      </c>
      <c r="G230" s="9" t="n"/>
      <c r="H230">
        <f>IF(A230="","",YEAR(A230))</f>
        <v/>
      </c>
    </row>
    <row r="231">
      <c r="A231" s="10" t="n"/>
      <c r="B231" s="9" t="n"/>
      <c r="C231" s="9" t="n"/>
      <c r="D231" s="14" t="n"/>
      <c r="E231" s="11" t="n"/>
      <c r="F231" s="14">
        <f>IF(OR(A231="",D231=""),"",D231*IF(E231="",1,E231))</f>
        <v/>
      </c>
      <c r="G231" s="9" t="n"/>
      <c r="H231">
        <f>IF(A231="","",YEAR(A231))</f>
        <v/>
      </c>
    </row>
    <row r="232">
      <c r="A232" s="10" t="n"/>
      <c r="B232" s="9" t="n"/>
      <c r="C232" s="9" t="n"/>
      <c r="D232" s="14" t="n"/>
      <c r="E232" s="11" t="n"/>
      <c r="F232" s="14">
        <f>IF(OR(A232="",D232=""),"",D232*IF(E232="",1,E232))</f>
        <v/>
      </c>
      <c r="G232" s="9" t="n"/>
      <c r="H232">
        <f>IF(A232="","",YEAR(A232))</f>
        <v/>
      </c>
    </row>
    <row r="233">
      <c r="A233" s="10" t="n"/>
      <c r="B233" s="9" t="n"/>
      <c r="C233" s="9" t="n"/>
      <c r="D233" s="14" t="n"/>
      <c r="E233" s="11" t="n"/>
      <c r="F233" s="14">
        <f>IF(OR(A233="",D233=""),"",D233*IF(E233="",1,E233))</f>
        <v/>
      </c>
      <c r="G233" s="9" t="n"/>
      <c r="H233">
        <f>IF(A233="","",YEAR(A233))</f>
        <v/>
      </c>
    </row>
    <row r="234">
      <c r="A234" s="10" t="n"/>
      <c r="B234" s="9" t="n"/>
      <c r="C234" s="9" t="n"/>
      <c r="D234" s="14" t="n"/>
      <c r="E234" s="11" t="n"/>
      <c r="F234" s="14">
        <f>IF(OR(A234="",D234=""),"",D234*IF(E234="",1,E234))</f>
        <v/>
      </c>
      <c r="G234" s="9" t="n"/>
      <c r="H234">
        <f>IF(A234="","",YEAR(A234))</f>
        <v/>
      </c>
    </row>
    <row r="235">
      <c r="A235" s="10" t="n"/>
      <c r="B235" s="9" t="n"/>
      <c r="C235" s="9" t="n"/>
      <c r="D235" s="14" t="n"/>
      <c r="E235" s="11" t="n"/>
      <c r="F235" s="14">
        <f>IF(OR(A235="",D235=""),"",D235*IF(E235="",1,E235))</f>
        <v/>
      </c>
      <c r="G235" s="9" t="n"/>
      <c r="H235">
        <f>IF(A235="","",YEAR(A235))</f>
        <v/>
      </c>
    </row>
    <row r="236">
      <c r="A236" s="10" t="n"/>
      <c r="B236" s="9" t="n"/>
      <c r="C236" s="9" t="n"/>
      <c r="D236" s="14" t="n"/>
      <c r="E236" s="11" t="n"/>
      <c r="F236" s="14">
        <f>IF(OR(A236="",D236=""),"",D236*IF(E236="",1,E236))</f>
        <v/>
      </c>
      <c r="G236" s="9" t="n"/>
      <c r="H236">
        <f>IF(A236="","",YEAR(A236))</f>
        <v/>
      </c>
    </row>
    <row r="237">
      <c r="A237" s="10" t="n"/>
      <c r="B237" s="9" t="n"/>
      <c r="C237" s="9" t="n"/>
      <c r="D237" s="14" t="n"/>
      <c r="E237" s="11" t="n"/>
      <c r="F237" s="14">
        <f>IF(OR(A237="",D237=""),"",D237*IF(E237="",1,E237))</f>
        <v/>
      </c>
      <c r="G237" s="9" t="n"/>
      <c r="H237">
        <f>IF(A237="","",YEAR(A237))</f>
        <v/>
      </c>
    </row>
    <row r="238">
      <c r="A238" s="10" t="n"/>
      <c r="B238" s="9" t="n"/>
      <c r="C238" s="9" t="n"/>
      <c r="D238" s="14" t="n"/>
      <c r="E238" s="11" t="n"/>
      <c r="F238" s="14">
        <f>IF(OR(A238="",D238=""),"",D238*IF(E238="",1,E238))</f>
        <v/>
      </c>
      <c r="G238" s="9" t="n"/>
      <c r="H238">
        <f>IF(A238="","",YEAR(A238))</f>
        <v/>
      </c>
    </row>
    <row r="239">
      <c r="A239" s="10" t="n"/>
      <c r="B239" s="9" t="n"/>
      <c r="C239" s="9" t="n"/>
      <c r="D239" s="14" t="n"/>
      <c r="E239" s="11" t="n"/>
      <c r="F239" s="14">
        <f>IF(OR(A239="",D239=""),"",D239*IF(E239="",1,E239))</f>
        <v/>
      </c>
      <c r="G239" s="9" t="n"/>
      <c r="H239">
        <f>IF(A239="","",YEAR(A239))</f>
        <v/>
      </c>
    </row>
    <row r="240">
      <c r="A240" s="10" t="n"/>
      <c r="B240" s="9" t="n"/>
      <c r="C240" s="9" t="n"/>
      <c r="D240" s="14" t="n"/>
      <c r="E240" s="11" t="n"/>
      <c r="F240" s="14">
        <f>IF(OR(A240="",D240=""),"",D240*IF(E240="",1,E240))</f>
        <v/>
      </c>
      <c r="G240" s="9" t="n"/>
      <c r="H240">
        <f>IF(A240="","",YEAR(A240))</f>
        <v/>
      </c>
    </row>
    <row r="241">
      <c r="A241" s="10" t="n"/>
      <c r="B241" s="9" t="n"/>
      <c r="C241" s="9" t="n"/>
      <c r="D241" s="14" t="n"/>
      <c r="E241" s="11" t="n"/>
      <c r="F241" s="14">
        <f>IF(OR(A241="",D241=""),"",D241*IF(E241="",1,E241))</f>
        <v/>
      </c>
      <c r="G241" s="9" t="n"/>
      <c r="H241">
        <f>IF(A241="","",YEAR(A241))</f>
        <v/>
      </c>
    </row>
    <row r="242">
      <c r="A242" s="10" t="n"/>
      <c r="B242" s="9" t="n"/>
      <c r="C242" s="9" t="n"/>
      <c r="D242" s="14" t="n"/>
      <c r="E242" s="11" t="n"/>
      <c r="F242" s="14">
        <f>IF(OR(A242="",D242=""),"",D242*IF(E242="",1,E242))</f>
        <v/>
      </c>
      <c r="G242" s="9" t="n"/>
      <c r="H242">
        <f>IF(A242="","",YEAR(A242))</f>
        <v/>
      </c>
    </row>
    <row r="243">
      <c r="A243" s="10" t="n"/>
      <c r="B243" s="9" t="n"/>
      <c r="C243" s="9" t="n"/>
      <c r="D243" s="14" t="n"/>
      <c r="E243" s="11" t="n"/>
      <c r="F243" s="14">
        <f>IF(OR(A243="",D243=""),"",D243*IF(E243="",1,E243))</f>
        <v/>
      </c>
      <c r="G243" s="9" t="n"/>
      <c r="H243">
        <f>IF(A243="","",YEAR(A243))</f>
        <v/>
      </c>
    </row>
    <row r="244">
      <c r="A244" s="10" t="n"/>
      <c r="B244" s="9" t="n"/>
      <c r="C244" s="9" t="n"/>
      <c r="D244" s="14" t="n"/>
      <c r="E244" s="11" t="n"/>
      <c r="F244" s="14">
        <f>IF(OR(A244="",D244=""),"",D244*IF(E244="",1,E244))</f>
        <v/>
      </c>
      <c r="G244" s="9" t="n"/>
      <c r="H244">
        <f>IF(A244="","",YEAR(A244))</f>
        <v/>
      </c>
    </row>
    <row r="245">
      <c r="A245" s="10" t="n"/>
      <c r="B245" s="9" t="n"/>
      <c r="C245" s="9" t="n"/>
      <c r="D245" s="14" t="n"/>
      <c r="E245" s="11" t="n"/>
      <c r="F245" s="14">
        <f>IF(OR(A245="",D245=""),"",D245*IF(E245="",1,E245))</f>
        <v/>
      </c>
      <c r="G245" s="9" t="n"/>
      <c r="H245">
        <f>IF(A245="","",YEAR(A245))</f>
        <v/>
      </c>
    </row>
    <row r="246">
      <c r="A246" s="10" t="n"/>
      <c r="B246" s="9" t="n"/>
      <c r="C246" s="9" t="n"/>
      <c r="D246" s="14" t="n"/>
      <c r="E246" s="11" t="n"/>
      <c r="F246" s="14">
        <f>IF(OR(A246="",D246=""),"",D246*IF(E246="",1,E246))</f>
        <v/>
      </c>
      <c r="G246" s="9" t="n"/>
      <c r="H246">
        <f>IF(A246="","",YEAR(A246))</f>
        <v/>
      </c>
    </row>
    <row r="247">
      <c r="A247" s="10" t="n"/>
      <c r="B247" s="9" t="n"/>
      <c r="C247" s="9" t="n"/>
      <c r="D247" s="14" t="n"/>
      <c r="E247" s="11" t="n"/>
      <c r="F247" s="14">
        <f>IF(OR(A247="",D247=""),"",D247*IF(E247="",1,E247))</f>
        <v/>
      </c>
      <c r="G247" s="9" t="n"/>
      <c r="H247">
        <f>IF(A247="","",YEAR(A247))</f>
        <v/>
      </c>
    </row>
    <row r="248">
      <c r="A248" s="10" t="n"/>
      <c r="B248" s="9" t="n"/>
      <c r="C248" s="9" t="n"/>
      <c r="D248" s="14" t="n"/>
      <c r="E248" s="11" t="n"/>
      <c r="F248" s="14">
        <f>IF(OR(A248="",D248=""),"",D248*IF(E248="",1,E248))</f>
        <v/>
      </c>
      <c r="G248" s="9" t="n"/>
      <c r="H248">
        <f>IF(A248="","",YEAR(A248))</f>
        <v/>
      </c>
    </row>
    <row r="249">
      <c r="A249" s="10" t="n"/>
      <c r="B249" s="9" t="n"/>
      <c r="C249" s="9" t="n"/>
      <c r="D249" s="14" t="n"/>
      <c r="E249" s="11" t="n"/>
      <c r="F249" s="14">
        <f>IF(OR(A249="",D249=""),"",D249*IF(E249="",1,E249))</f>
        <v/>
      </c>
      <c r="G249" s="9" t="n"/>
      <c r="H249">
        <f>IF(A249="","",YEAR(A249))</f>
        <v/>
      </c>
    </row>
    <row r="250">
      <c r="A250" s="10" t="n"/>
      <c r="B250" s="9" t="n"/>
      <c r="C250" s="9" t="n"/>
      <c r="D250" s="14" t="n"/>
      <c r="E250" s="11" t="n"/>
      <c r="F250" s="14">
        <f>IF(OR(A250="",D250=""),"",D250*IF(E250="",1,E250))</f>
        <v/>
      </c>
      <c r="G250" s="9" t="n"/>
      <c r="H250">
        <f>IF(A250="","",YEAR(A250))</f>
        <v/>
      </c>
    </row>
    <row r="251">
      <c r="A251" s="10" t="n"/>
      <c r="B251" s="9" t="n"/>
      <c r="C251" s="9" t="n"/>
      <c r="D251" s="14" t="n"/>
      <c r="E251" s="11" t="n"/>
      <c r="F251" s="14">
        <f>IF(OR(A251="",D251=""),"",D251*IF(E251="",1,E251))</f>
        <v/>
      </c>
      <c r="G251" s="9" t="n"/>
      <c r="H251">
        <f>IF(A251="","",YEAR(A251))</f>
        <v/>
      </c>
    </row>
    <row r="252">
      <c r="A252" s="10" t="n"/>
      <c r="B252" s="9" t="n"/>
      <c r="C252" s="9" t="n"/>
      <c r="D252" s="14" t="n"/>
      <c r="E252" s="11" t="n"/>
      <c r="F252" s="14">
        <f>IF(OR(A252="",D252=""),"",D252*IF(E252="",1,E252))</f>
        <v/>
      </c>
      <c r="G252" s="9" t="n"/>
      <c r="H252">
        <f>IF(A252="","",YEAR(A252))</f>
        <v/>
      </c>
    </row>
    <row r="253">
      <c r="A253" s="10" t="n"/>
      <c r="B253" s="9" t="n"/>
      <c r="C253" s="9" t="n"/>
      <c r="D253" s="14" t="n"/>
      <c r="E253" s="11" t="n"/>
      <c r="F253" s="14">
        <f>IF(OR(A253="",D253=""),"",D253*IF(E253="",1,E253))</f>
        <v/>
      </c>
      <c r="G253" s="9" t="n"/>
      <c r="H253">
        <f>IF(A253="","",YEAR(A253))</f>
        <v/>
      </c>
    </row>
    <row r="254">
      <c r="A254" s="10" t="n"/>
      <c r="B254" s="9" t="n"/>
      <c r="C254" s="9" t="n"/>
      <c r="D254" s="14" t="n"/>
      <c r="E254" s="11" t="n"/>
      <c r="F254" s="14">
        <f>IF(OR(A254="",D254=""),"",D254*IF(E254="",1,E254))</f>
        <v/>
      </c>
      <c r="G254" s="9" t="n"/>
      <c r="H254">
        <f>IF(A254="","",YEAR(A254))</f>
        <v/>
      </c>
    </row>
    <row r="255">
      <c r="A255" s="10" t="n"/>
      <c r="B255" s="9" t="n"/>
      <c r="C255" s="9" t="n"/>
      <c r="D255" s="14" t="n"/>
      <c r="E255" s="11" t="n"/>
      <c r="F255" s="14">
        <f>IF(OR(A255="",D255=""),"",D255*IF(E255="",1,E255))</f>
        <v/>
      </c>
      <c r="G255" s="9" t="n"/>
      <c r="H255">
        <f>IF(A255="","",YEAR(A255))</f>
        <v/>
      </c>
    </row>
    <row r="256">
      <c r="A256" s="10" t="n"/>
      <c r="B256" s="9" t="n"/>
      <c r="C256" s="9" t="n"/>
      <c r="D256" s="14" t="n"/>
      <c r="E256" s="11" t="n"/>
      <c r="F256" s="14">
        <f>IF(OR(A256="",D256=""),"",D256*IF(E256="",1,E256))</f>
        <v/>
      </c>
      <c r="G256" s="9" t="n"/>
      <c r="H256">
        <f>IF(A256="","",YEAR(A256))</f>
        <v/>
      </c>
    </row>
    <row r="257">
      <c r="A257" s="10" t="n"/>
      <c r="B257" s="9" t="n"/>
      <c r="C257" s="9" t="n"/>
      <c r="D257" s="14" t="n"/>
      <c r="E257" s="11" t="n"/>
      <c r="F257" s="14">
        <f>IF(OR(A257="",D257=""),"",D257*IF(E257="",1,E257))</f>
        <v/>
      </c>
      <c r="G257" s="9" t="n"/>
      <c r="H257">
        <f>IF(A257="","",YEAR(A257))</f>
        <v/>
      </c>
    </row>
    <row r="258">
      <c r="A258" s="10" t="n"/>
      <c r="B258" s="9" t="n"/>
      <c r="C258" s="9" t="n"/>
      <c r="D258" s="14" t="n"/>
      <c r="E258" s="11" t="n"/>
      <c r="F258" s="14">
        <f>IF(OR(A258="",D258=""),"",D258*IF(E258="",1,E258))</f>
        <v/>
      </c>
      <c r="G258" s="9" t="n"/>
      <c r="H258">
        <f>IF(A258="","",YEAR(A258))</f>
        <v/>
      </c>
    </row>
    <row r="259">
      <c r="A259" s="10" t="n"/>
      <c r="B259" s="9" t="n"/>
      <c r="C259" s="9" t="n"/>
      <c r="D259" s="14" t="n"/>
      <c r="E259" s="11" t="n"/>
      <c r="F259" s="14">
        <f>IF(OR(A259="",D259=""),"",D259*IF(E259="",1,E259))</f>
        <v/>
      </c>
      <c r="G259" s="9" t="n"/>
      <c r="H259">
        <f>IF(A259="","",YEAR(A259))</f>
        <v/>
      </c>
    </row>
    <row r="260">
      <c r="A260" s="10" t="n"/>
      <c r="B260" s="9" t="n"/>
      <c r="C260" s="9" t="n"/>
      <c r="D260" s="14" t="n"/>
      <c r="E260" s="11" t="n"/>
      <c r="F260" s="14">
        <f>IF(OR(A260="",D260=""),"",D260*IF(E260="",1,E260))</f>
        <v/>
      </c>
      <c r="G260" s="9" t="n"/>
      <c r="H260">
        <f>IF(A260="","",YEAR(A260))</f>
        <v/>
      </c>
    </row>
    <row r="261">
      <c r="A261" s="10" t="n"/>
      <c r="B261" s="9" t="n"/>
      <c r="C261" s="9" t="n"/>
      <c r="D261" s="14" t="n"/>
      <c r="E261" s="11" t="n"/>
      <c r="F261" s="14">
        <f>IF(OR(A261="",D261=""),"",D261*IF(E261="",1,E261))</f>
        <v/>
      </c>
      <c r="G261" s="9" t="n"/>
      <c r="H261">
        <f>IF(A261="","",YEAR(A261))</f>
        <v/>
      </c>
    </row>
    <row r="262">
      <c r="A262" s="10" t="n"/>
      <c r="B262" s="9" t="n"/>
      <c r="C262" s="9" t="n"/>
      <c r="D262" s="14" t="n"/>
      <c r="E262" s="11" t="n"/>
      <c r="F262" s="14">
        <f>IF(OR(A262="",D262=""),"",D262*IF(E262="",1,E262))</f>
        <v/>
      </c>
      <c r="G262" s="9" t="n"/>
      <c r="H262">
        <f>IF(A262="","",YEAR(A262))</f>
        <v/>
      </c>
    </row>
    <row r="263">
      <c r="A263" s="10" t="n"/>
      <c r="B263" s="9" t="n"/>
      <c r="C263" s="9" t="n"/>
      <c r="D263" s="14" t="n"/>
      <c r="E263" s="11" t="n"/>
      <c r="F263" s="14">
        <f>IF(OR(A263="",D263=""),"",D263*IF(E263="",1,E263))</f>
        <v/>
      </c>
      <c r="G263" s="9" t="n"/>
      <c r="H263">
        <f>IF(A263="","",YEAR(A263))</f>
        <v/>
      </c>
    </row>
    <row r="264">
      <c r="A264" s="10" t="n"/>
      <c r="B264" s="9" t="n"/>
      <c r="C264" s="9" t="n"/>
      <c r="D264" s="14" t="n"/>
      <c r="E264" s="11" t="n"/>
      <c r="F264" s="14">
        <f>IF(OR(A264="",D264=""),"",D264*IF(E264="",1,E264))</f>
        <v/>
      </c>
      <c r="G264" s="9" t="n"/>
      <c r="H264">
        <f>IF(A264="","",YEAR(A264))</f>
        <v/>
      </c>
    </row>
    <row r="265">
      <c r="A265" s="10" t="n"/>
      <c r="B265" s="9" t="n"/>
      <c r="C265" s="9" t="n"/>
      <c r="D265" s="14" t="n"/>
      <c r="E265" s="11" t="n"/>
      <c r="F265" s="14">
        <f>IF(OR(A265="",D265=""),"",D265*IF(E265="",1,E265))</f>
        <v/>
      </c>
      <c r="G265" s="9" t="n"/>
      <c r="H265">
        <f>IF(A265="","",YEAR(A265))</f>
        <v/>
      </c>
    </row>
    <row r="266">
      <c r="A266" s="10" t="n"/>
      <c r="B266" s="9" t="n"/>
      <c r="C266" s="9" t="n"/>
      <c r="D266" s="14" t="n"/>
      <c r="E266" s="11" t="n"/>
      <c r="F266" s="14">
        <f>IF(OR(A266="",D266=""),"",D266*IF(E266="",1,E266))</f>
        <v/>
      </c>
      <c r="G266" s="9" t="n"/>
      <c r="H266">
        <f>IF(A266="","",YEAR(A266))</f>
        <v/>
      </c>
    </row>
    <row r="267">
      <c r="A267" s="10" t="n"/>
      <c r="B267" s="9" t="n"/>
      <c r="C267" s="9" t="n"/>
      <c r="D267" s="14" t="n"/>
      <c r="E267" s="11" t="n"/>
      <c r="F267" s="14">
        <f>IF(OR(A267="",D267=""),"",D267*IF(E267="",1,E267))</f>
        <v/>
      </c>
      <c r="G267" s="9" t="n"/>
      <c r="H267">
        <f>IF(A267="","",YEAR(A267))</f>
        <v/>
      </c>
    </row>
    <row r="268">
      <c r="A268" s="10" t="n"/>
      <c r="B268" s="9" t="n"/>
      <c r="C268" s="9" t="n"/>
      <c r="D268" s="14" t="n"/>
      <c r="E268" s="11" t="n"/>
      <c r="F268" s="14">
        <f>IF(OR(A268="",D268=""),"",D268*IF(E268="",1,E268))</f>
        <v/>
      </c>
      <c r="G268" s="9" t="n"/>
      <c r="H268">
        <f>IF(A268="","",YEAR(A268))</f>
        <v/>
      </c>
    </row>
    <row r="269">
      <c r="A269" s="10" t="n"/>
      <c r="B269" s="9" t="n"/>
      <c r="C269" s="9" t="n"/>
      <c r="D269" s="14" t="n"/>
      <c r="E269" s="11" t="n"/>
      <c r="F269" s="14">
        <f>IF(OR(A269="",D269=""),"",D269*IF(E269="",1,E269))</f>
        <v/>
      </c>
      <c r="G269" s="9" t="n"/>
      <c r="H269">
        <f>IF(A269="","",YEAR(A269))</f>
        <v/>
      </c>
    </row>
    <row r="270">
      <c r="A270" s="10" t="n"/>
      <c r="B270" s="9" t="n"/>
      <c r="C270" s="9" t="n"/>
      <c r="D270" s="14" t="n"/>
      <c r="E270" s="11" t="n"/>
      <c r="F270" s="14">
        <f>IF(OR(A270="",D270=""),"",D270*IF(E270="",1,E270))</f>
        <v/>
      </c>
      <c r="G270" s="9" t="n"/>
      <c r="H270">
        <f>IF(A270="","",YEAR(A270))</f>
        <v/>
      </c>
    </row>
    <row r="271">
      <c r="A271" s="10" t="n"/>
      <c r="B271" s="9" t="n"/>
      <c r="C271" s="9" t="n"/>
      <c r="D271" s="14" t="n"/>
      <c r="E271" s="11" t="n"/>
      <c r="F271" s="14">
        <f>IF(OR(A271="",D271=""),"",D271*IF(E271="",1,E271))</f>
        <v/>
      </c>
      <c r="G271" s="9" t="n"/>
      <c r="H271">
        <f>IF(A271="","",YEAR(A271))</f>
        <v/>
      </c>
    </row>
    <row r="272">
      <c r="A272" s="10" t="n"/>
      <c r="B272" s="9" t="n"/>
      <c r="C272" s="9" t="n"/>
      <c r="D272" s="14" t="n"/>
      <c r="E272" s="11" t="n"/>
      <c r="F272" s="14">
        <f>IF(OR(A272="",D272=""),"",D272*IF(E272="",1,E272))</f>
        <v/>
      </c>
      <c r="G272" s="9" t="n"/>
      <c r="H272">
        <f>IF(A272="","",YEAR(A272))</f>
        <v/>
      </c>
    </row>
    <row r="273">
      <c r="A273" s="10" t="n"/>
      <c r="B273" s="9" t="n"/>
      <c r="C273" s="9" t="n"/>
      <c r="D273" s="14" t="n"/>
      <c r="E273" s="11" t="n"/>
      <c r="F273" s="14">
        <f>IF(OR(A273="",D273=""),"",D273*IF(E273="",1,E273))</f>
        <v/>
      </c>
      <c r="G273" s="9" t="n"/>
      <c r="H273">
        <f>IF(A273="","",YEAR(A273))</f>
        <v/>
      </c>
    </row>
    <row r="274">
      <c r="A274" s="10" t="n"/>
      <c r="B274" s="9" t="n"/>
      <c r="C274" s="9" t="n"/>
      <c r="D274" s="14" t="n"/>
      <c r="E274" s="11" t="n"/>
      <c r="F274" s="14">
        <f>IF(OR(A274="",D274=""),"",D274*IF(E274="",1,E274))</f>
        <v/>
      </c>
      <c r="G274" s="9" t="n"/>
      <c r="H274">
        <f>IF(A274="","",YEAR(A274))</f>
        <v/>
      </c>
    </row>
    <row r="275">
      <c r="A275" s="10" t="n"/>
      <c r="B275" s="9" t="n"/>
      <c r="C275" s="9" t="n"/>
      <c r="D275" s="14" t="n"/>
      <c r="E275" s="11" t="n"/>
      <c r="F275" s="14">
        <f>IF(OR(A275="",D275=""),"",D275*IF(E275="",1,E275))</f>
        <v/>
      </c>
      <c r="G275" s="9" t="n"/>
      <c r="H275">
        <f>IF(A275="","",YEAR(A275))</f>
        <v/>
      </c>
    </row>
    <row r="276">
      <c r="A276" s="10" t="n"/>
      <c r="B276" s="9" t="n"/>
      <c r="C276" s="9" t="n"/>
      <c r="D276" s="14" t="n"/>
      <c r="E276" s="11" t="n"/>
      <c r="F276" s="14">
        <f>IF(OR(A276="",D276=""),"",D276*IF(E276="",1,E276))</f>
        <v/>
      </c>
      <c r="G276" s="9" t="n"/>
      <c r="H276">
        <f>IF(A276="","",YEAR(A276))</f>
        <v/>
      </c>
    </row>
    <row r="277">
      <c r="A277" s="10" t="n"/>
      <c r="B277" s="9" t="n"/>
      <c r="C277" s="9" t="n"/>
      <c r="D277" s="14" t="n"/>
      <c r="E277" s="11" t="n"/>
      <c r="F277" s="14">
        <f>IF(OR(A277="",D277=""),"",D277*IF(E277="",1,E277))</f>
        <v/>
      </c>
      <c r="G277" s="9" t="n"/>
      <c r="H277">
        <f>IF(A277="","",YEAR(A277))</f>
        <v/>
      </c>
    </row>
    <row r="278">
      <c r="A278" s="10" t="n"/>
      <c r="B278" s="9" t="n"/>
      <c r="C278" s="9" t="n"/>
      <c r="D278" s="14" t="n"/>
      <c r="E278" s="11" t="n"/>
      <c r="F278" s="14">
        <f>IF(OR(A278="",D278=""),"",D278*IF(E278="",1,E278))</f>
        <v/>
      </c>
      <c r="G278" s="9" t="n"/>
      <c r="H278">
        <f>IF(A278="","",YEAR(A278))</f>
        <v/>
      </c>
    </row>
    <row r="279">
      <c r="A279" s="10" t="n"/>
      <c r="B279" s="9" t="n"/>
      <c r="C279" s="9" t="n"/>
      <c r="D279" s="14" t="n"/>
      <c r="E279" s="11" t="n"/>
      <c r="F279" s="14">
        <f>IF(OR(A279="",D279=""),"",D279*IF(E279="",1,E279))</f>
        <v/>
      </c>
      <c r="G279" s="9" t="n"/>
      <c r="H279">
        <f>IF(A279="","",YEAR(A279))</f>
        <v/>
      </c>
    </row>
    <row r="280">
      <c r="A280" s="10" t="n"/>
      <c r="B280" s="9" t="n"/>
      <c r="C280" s="9" t="n"/>
      <c r="D280" s="14" t="n"/>
      <c r="E280" s="11" t="n"/>
      <c r="F280" s="14">
        <f>IF(OR(A280="",D280=""),"",D280*IF(E280="",1,E280))</f>
        <v/>
      </c>
      <c r="G280" s="9" t="n"/>
      <c r="H280">
        <f>IF(A280="","",YEAR(A280))</f>
        <v/>
      </c>
    </row>
    <row r="281">
      <c r="A281" s="10" t="n"/>
      <c r="B281" s="9" t="n"/>
      <c r="C281" s="9" t="n"/>
      <c r="D281" s="14" t="n"/>
      <c r="E281" s="11" t="n"/>
      <c r="F281" s="14">
        <f>IF(OR(A281="",D281=""),"",D281*IF(E281="",1,E281))</f>
        <v/>
      </c>
      <c r="G281" s="9" t="n"/>
      <c r="H281">
        <f>IF(A281="","",YEAR(A281))</f>
        <v/>
      </c>
    </row>
    <row r="282">
      <c r="A282" s="10" t="n"/>
      <c r="B282" s="9" t="n"/>
      <c r="C282" s="9" t="n"/>
      <c r="D282" s="14" t="n"/>
      <c r="E282" s="11" t="n"/>
      <c r="F282" s="14">
        <f>IF(OR(A282="",D282=""),"",D282*IF(E282="",1,E282))</f>
        <v/>
      </c>
      <c r="G282" s="9" t="n"/>
      <c r="H282">
        <f>IF(A282="","",YEAR(A282))</f>
        <v/>
      </c>
    </row>
    <row r="283">
      <c r="A283" s="10" t="n"/>
      <c r="B283" s="9" t="n"/>
      <c r="C283" s="9" t="n"/>
      <c r="D283" s="14" t="n"/>
      <c r="E283" s="11" t="n"/>
      <c r="F283" s="14">
        <f>IF(OR(A283="",D283=""),"",D283*IF(E283="",1,E283))</f>
        <v/>
      </c>
      <c r="G283" s="9" t="n"/>
      <c r="H283">
        <f>IF(A283="","",YEAR(A283))</f>
        <v/>
      </c>
    </row>
    <row r="284">
      <c r="A284" s="10" t="n"/>
      <c r="B284" s="9" t="n"/>
      <c r="C284" s="9" t="n"/>
      <c r="D284" s="14" t="n"/>
      <c r="E284" s="11" t="n"/>
      <c r="F284" s="14">
        <f>IF(OR(A284="",D284=""),"",D284*IF(E284="",1,E284))</f>
        <v/>
      </c>
      <c r="G284" s="9" t="n"/>
      <c r="H284">
        <f>IF(A284="","",YEAR(A284))</f>
        <v/>
      </c>
    </row>
    <row r="285">
      <c r="A285" s="10" t="n"/>
      <c r="B285" s="9" t="n"/>
      <c r="C285" s="9" t="n"/>
      <c r="D285" s="14" t="n"/>
      <c r="E285" s="11" t="n"/>
      <c r="F285" s="14">
        <f>IF(OR(A285="",D285=""),"",D285*IF(E285="",1,E285))</f>
        <v/>
      </c>
      <c r="G285" s="9" t="n"/>
      <c r="H285">
        <f>IF(A285="","",YEAR(A285))</f>
        <v/>
      </c>
    </row>
    <row r="286">
      <c r="A286" s="10" t="n"/>
      <c r="B286" s="9" t="n"/>
      <c r="C286" s="9" t="n"/>
      <c r="D286" s="14" t="n"/>
      <c r="E286" s="11" t="n"/>
      <c r="F286" s="14">
        <f>IF(OR(A286="",D286=""),"",D286*IF(E286="",1,E286))</f>
        <v/>
      </c>
      <c r="G286" s="9" t="n"/>
      <c r="H286">
        <f>IF(A286="","",YEAR(A286))</f>
        <v/>
      </c>
    </row>
    <row r="287">
      <c r="A287" s="10" t="n"/>
      <c r="B287" s="9" t="n"/>
      <c r="C287" s="9" t="n"/>
      <c r="D287" s="14" t="n"/>
      <c r="E287" s="11" t="n"/>
      <c r="F287" s="14">
        <f>IF(OR(A287="",D287=""),"",D287*IF(E287="",1,E287))</f>
        <v/>
      </c>
      <c r="G287" s="9" t="n"/>
      <c r="H287">
        <f>IF(A287="","",YEAR(A287))</f>
        <v/>
      </c>
    </row>
    <row r="288">
      <c r="A288" s="10" t="n"/>
      <c r="B288" s="9" t="n"/>
      <c r="C288" s="9" t="n"/>
      <c r="D288" s="14" t="n"/>
      <c r="E288" s="11" t="n"/>
      <c r="F288" s="14">
        <f>IF(OR(A288="",D288=""),"",D288*IF(E288="",1,E288))</f>
        <v/>
      </c>
      <c r="G288" s="9" t="n"/>
      <c r="H288">
        <f>IF(A288="","",YEAR(A288))</f>
        <v/>
      </c>
    </row>
    <row r="289">
      <c r="A289" s="10" t="n"/>
      <c r="B289" s="9" t="n"/>
      <c r="C289" s="9" t="n"/>
      <c r="D289" s="14" t="n"/>
      <c r="E289" s="11" t="n"/>
      <c r="F289" s="14">
        <f>IF(OR(A289="",D289=""),"",D289*IF(E289="",1,E289))</f>
        <v/>
      </c>
      <c r="G289" s="9" t="n"/>
      <c r="H289">
        <f>IF(A289="","",YEAR(A289))</f>
        <v/>
      </c>
    </row>
    <row r="290">
      <c r="A290" s="10" t="n"/>
      <c r="B290" s="9" t="n"/>
      <c r="C290" s="9" t="n"/>
      <c r="D290" s="14" t="n"/>
      <c r="E290" s="11" t="n"/>
      <c r="F290" s="14">
        <f>IF(OR(A290="",D290=""),"",D290*IF(E290="",1,E290))</f>
        <v/>
      </c>
      <c r="G290" s="9" t="n"/>
      <c r="H290">
        <f>IF(A290="","",YEAR(A290))</f>
        <v/>
      </c>
    </row>
    <row r="291">
      <c r="A291" s="10" t="n"/>
      <c r="B291" s="9" t="n"/>
      <c r="C291" s="9" t="n"/>
      <c r="D291" s="14" t="n"/>
      <c r="E291" s="11" t="n"/>
      <c r="F291" s="14">
        <f>IF(OR(A291="",D291=""),"",D291*IF(E291="",1,E291))</f>
        <v/>
      </c>
      <c r="G291" s="9" t="n"/>
      <c r="H291">
        <f>IF(A291="","",YEAR(A291))</f>
        <v/>
      </c>
    </row>
    <row r="292">
      <c r="A292" s="10" t="n"/>
      <c r="B292" s="9" t="n"/>
      <c r="C292" s="9" t="n"/>
      <c r="D292" s="14" t="n"/>
      <c r="E292" s="11" t="n"/>
      <c r="F292" s="14">
        <f>IF(OR(A292="",D292=""),"",D292*IF(E292="",1,E292))</f>
        <v/>
      </c>
      <c r="G292" s="9" t="n"/>
      <c r="H292">
        <f>IF(A292="","",YEAR(A292))</f>
        <v/>
      </c>
    </row>
    <row r="293">
      <c r="A293" s="10" t="n"/>
      <c r="B293" s="9" t="n"/>
      <c r="C293" s="9" t="n"/>
      <c r="D293" s="14" t="n"/>
      <c r="E293" s="11" t="n"/>
      <c r="F293" s="14">
        <f>IF(OR(A293="",D293=""),"",D293*IF(E293="",1,E293))</f>
        <v/>
      </c>
      <c r="G293" s="9" t="n"/>
      <c r="H293">
        <f>IF(A293="","",YEAR(A293))</f>
        <v/>
      </c>
    </row>
    <row r="294">
      <c r="A294" s="10" t="n"/>
      <c r="B294" s="9" t="n"/>
      <c r="C294" s="9" t="n"/>
      <c r="D294" s="14" t="n"/>
      <c r="E294" s="11" t="n"/>
      <c r="F294" s="14">
        <f>IF(OR(A294="",D294=""),"",D294*IF(E294="",1,E294))</f>
        <v/>
      </c>
      <c r="G294" s="9" t="n"/>
      <c r="H294">
        <f>IF(A294="","",YEAR(A294))</f>
        <v/>
      </c>
    </row>
    <row r="295">
      <c r="A295" s="10" t="n"/>
      <c r="B295" s="9" t="n"/>
      <c r="C295" s="9" t="n"/>
      <c r="D295" s="14" t="n"/>
      <c r="E295" s="11" t="n"/>
      <c r="F295" s="14">
        <f>IF(OR(A295="",D295=""),"",D295*IF(E295="",1,E295))</f>
        <v/>
      </c>
      <c r="G295" s="9" t="n"/>
      <c r="H295">
        <f>IF(A295="","",YEAR(A295))</f>
        <v/>
      </c>
    </row>
    <row r="296">
      <c r="A296" s="10" t="n"/>
      <c r="B296" s="9" t="n"/>
      <c r="C296" s="9" t="n"/>
      <c r="D296" s="14" t="n"/>
      <c r="E296" s="11" t="n"/>
      <c r="F296" s="14">
        <f>IF(OR(A296="",D296=""),"",D296*IF(E296="",1,E296))</f>
        <v/>
      </c>
      <c r="G296" s="9" t="n"/>
      <c r="H296">
        <f>IF(A296="","",YEAR(A296))</f>
        <v/>
      </c>
    </row>
    <row r="297">
      <c r="A297" s="10" t="n"/>
      <c r="B297" s="9" t="n"/>
      <c r="C297" s="9" t="n"/>
      <c r="D297" s="14" t="n"/>
      <c r="E297" s="11" t="n"/>
      <c r="F297" s="14">
        <f>IF(OR(A297="",D297=""),"",D297*IF(E297="",1,E297))</f>
        <v/>
      </c>
      <c r="G297" s="9" t="n"/>
      <c r="H297">
        <f>IF(A297="","",YEAR(A297))</f>
        <v/>
      </c>
    </row>
    <row r="298">
      <c r="A298" s="10" t="n"/>
      <c r="B298" s="9" t="n"/>
      <c r="C298" s="9" t="n"/>
      <c r="D298" s="14" t="n"/>
      <c r="E298" s="11" t="n"/>
      <c r="F298" s="14">
        <f>IF(OR(A298="",D298=""),"",D298*IF(E298="",1,E298))</f>
        <v/>
      </c>
      <c r="G298" s="9" t="n"/>
      <c r="H298">
        <f>IF(A298="","",YEAR(A298))</f>
        <v/>
      </c>
    </row>
    <row r="299">
      <c r="A299" s="10" t="n"/>
      <c r="B299" s="9" t="n"/>
      <c r="C299" s="9" t="n"/>
      <c r="D299" s="14" t="n"/>
      <c r="E299" s="11" t="n"/>
      <c r="F299" s="14">
        <f>IF(OR(A299="",D299=""),"",D299*IF(E299="",1,E299))</f>
        <v/>
      </c>
      <c r="G299" s="9" t="n"/>
      <c r="H299">
        <f>IF(A299="","",YEAR(A299))</f>
        <v/>
      </c>
    </row>
    <row r="300">
      <c r="A300" s="10" t="n"/>
      <c r="B300" s="9" t="n"/>
      <c r="C300" s="9" t="n"/>
      <c r="D300" s="14" t="n"/>
      <c r="E300" s="11" t="n"/>
      <c r="F300" s="14">
        <f>IF(OR(A300="",D300=""),"",D300*IF(E300="",1,E300))</f>
        <v/>
      </c>
      <c r="G300" s="9" t="n"/>
      <c r="H300">
        <f>IF(A300="","",YEAR(A300))</f>
        <v/>
      </c>
    </row>
    <row r="301">
      <c r="A301" s="10" t="n"/>
      <c r="B301" s="9" t="n"/>
      <c r="C301" s="9" t="n"/>
      <c r="D301" s="14" t="n"/>
      <c r="E301" s="11" t="n"/>
      <c r="F301" s="14">
        <f>IF(OR(A301="",D301=""),"",D301*IF(E301="",1,E301))</f>
        <v/>
      </c>
      <c r="G301" s="9" t="n"/>
      <c r="H301">
        <f>IF(A301="","",YEAR(A301))</f>
        <v/>
      </c>
    </row>
    <row r="302">
      <c r="A302" s="10" t="n"/>
      <c r="B302" s="9" t="n"/>
      <c r="C302" s="9" t="n"/>
      <c r="D302" s="14" t="n"/>
      <c r="E302" s="11" t="n"/>
      <c r="F302" s="14">
        <f>IF(OR(A302="",D302=""),"",D302*IF(E302="",1,E302))</f>
        <v/>
      </c>
      <c r="G302" s="9" t="n"/>
      <c r="H302">
        <f>IF(A302="","",YEAR(A302))</f>
        <v/>
      </c>
    </row>
    <row r="303">
      <c r="A303" s="10" t="n"/>
      <c r="B303" s="9" t="n"/>
      <c r="C303" s="9" t="n"/>
      <c r="D303" s="14" t="n"/>
      <c r="E303" s="11" t="n"/>
      <c r="F303" s="14">
        <f>IF(OR(A303="",D303=""),"",D303*IF(E303="",1,E303))</f>
        <v/>
      </c>
      <c r="G303" s="9" t="n"/>
      <c r="H303">
        <f>IF(A303="","",YEAR(A303))</f>
        <v/>
      </c>
    </row>
    <row r="304">
      <c r="A304" s="10" t="n"/>
      <c r="B304" s="9" t="n"/>
      <c r="C304" s="9" t="n"/>
      <c r="D304" s="14" t="n"/>
      <c r="E304" s="11" t="n"/>
      <c r="F304" s="14">
        <f>IF(OR(A304="",D304=""),"",D304*IF(E304="",1,E304))</f>
        <v/>
      </c>
      <c r="G304" s="9" t="n"/>
      <c r="H304">
        <f>IF(A304="","",YEAR(A304))</f>
        <v/>
      </c>
    </row>
    <row r="305">
      <c r="A305" s="10" t="n"/>
      <c r="B305" s="9" t="n"/>
      <c r="C305" s="9" t="n"/>
      <c r="D305" s="14" t="n"/>
      <c r="E305" s="11" t="n"/>
      <c r="F305" s="14">
        <f>IF(OR(A305="",D305=""),"",D305*IF(E305="",1,E305))</f>
        <v/>
      </c>
      <c r="G305" s="9" t="n"/>
      <c r="H305">
        <f>IF(A305="","",YEAR(A305))</f>
        <v/>
      </c>
    </row>
    <row r="306">
      <c r="A306" s="10" t="n"/>
      <c r="B306" s="9" t="n"/>
      <c r="C306" s="9" t="n"/>
      <c r="D306" s="14" t="n"/>
      <c r="E306" s="11" t="n"/>
      <c r="F306" s="14">
        <f>IF(OR(A306="",D306=""),"",D306*IF(E306="",1,E306))</f>
        <v/>
      </c>
      <c r="G306" s="9" t="n"/>
      <c r="H306">
        <f>IF(A306="","",YEAR(A306))</f>
        <v/>
      </c>
    </row>
    <row r="307">
      <c r="A307" s="10" t="n"/>
      <c r="B307" s="9" t="n"/>
      <c r="C307" s="9" t="n"/>
      <c r="D307" s="14" t="n"/>
      <c r="E307" s="11" t="n"/>
      <c r="F307" s="14">
        <f>IF(OR(A307="",D307=""),"",D307*IF(E307="",1,E307))</f>
        <v/>
      </c>
      <c r="G307" s="9" t="n"/>
      <c r="H307">
        <f>IF(A307="","",YEAR(A307))</f>
        <v/>
      </c>
    </row>
    <row r="308">
      <c r="A308" s="10" t="n"/>
      <c r="B308" s="9" t="n"/>
      <c r="C308" s="9" t="n"/>
      <c r="D308" s="14" t="n"/>
      <c r="E308" s="11" t="n"/>
      <c r="F308" s="14">
        <f>IF(OR(A308="",D308=""),"",D308*IF(E308="",1,E308))</f>
        <v/>
      </c>
      <c r="G308" s="9" t="n"/>
      <c r="H308">
        <f>IF(A308="","",YEAR(A308))</f>
        <v/>
      </c>
    </row>
    <row r="309">
      <c r="A309" s="10" t="n"/>
      <c r="B309" s="9" t="n"/>
      <c r="C309" s="9" t="n"/>
      <c r="D309" s="14" t="n"/>
      <c r="E309" s="11" t="n"/>
      <c r="F309" s="14">
        <f>IF(OR(A309="",D309=""),"",D309*IF(E309="",1,E309))</f>
        <v/>
      </c>
      <c r="G309" s="9" t="n"/>
      <c r="H309">
        <f>IF(A309="","",YEAR(A309))</f>
        <v/>
      </c>
    </row>
    <row r="310">
      <c r="A310" s="10" t="n"/>
      <c r="B310" s="9" t="n"/>
      <c r="C310" s="9" t="n"/>
      <c r="D310" s="14" t="n"/>
      <c r="E310" s="11" t="n"/>
      <c r="F310" s="14">
        <f>IF(OR(A310="",D310=""),"",D310*IF(E310="",1,E310))</f>
        <v/>
      </c>
      <c r="G310" s="9" t="n"/>
      <c r="H310">
        <f>IF(A310="","",YEAR(A310))</f>
        <v/>
      </c>
    </row>
    <row r="311">
      <c r="A311" s="10" t="n"/>
      <c r="B311" s="9" t="n"/>
      <c r="C311" s="9" t="n"/>
      <c r="D311" s="14" t="n"/>
      <c r="E311" s="11" t="n"/>
      <c r="F311" s="14">
        <f>IF(OR(A311="",D311=""),"",D311*IF(E311="",1,E311))</f>
        <v/>
      </c>
      <c r="G311" s="9" t="n"/>
      <c r="H311">
        <f>IF(A311="","",YEAR(A311))</f>
        <v/>
      </c>
    </row>
    <row r="312">
      <c r="A312" s="10" t="n"/>
      <c r="B312" s="9" t="n"/>
      <c r="C312" s="9" t="n"/>
      <c r="D312" s="14" t="n"/>
      <c r="E312" s="11" t="n"/>
      <c r="F312" s="14">
        <f>IF(OR(A312="",D312=""),"",D312*IF(E312="",1,E312))</f>
        <v/>
      </c>
      <c r="G312" s="9" t="n"/>
      <c r="H312">
        <f>IF(A312="","",YEAR(A312))</f>
        <v/>
      </c>
    </row>
    <row r="313">
      <c r="A313" s="10" t="n"/>
      <c r="B313" s="9" t="n"/>
      <c r="C313" s="9" t="n"/>
      <c r="D313" s="14" t="n"/>
      <c r="E313" s="11" t="n"/>
      <c r="F313" s="14">
        <f>IF(OR(A313="",D313=""),"",D313*IF(E313="",1,E313))</f>
        <v/>
      </c>
      <c r="G313" s="9" t="n"/>
      <c r="H313">
        <f>IF(A313="","",YEAR(A313))</f>
        <v/>
      </c>
    </row>
    <row r="314">
      <c r="A314" s="10" t="n"/>
      <c r="B314" s="9" t="n"/>
      <c r="C314" s="9" t="n"/>
      <c r="D314" s="14" t="n"/>
      <c r="E314" s="11" t="n"/>
      <c r="F314" s="14">
        <f>IF(OR(A314="",D314=""),"",D314*IF(E314="",1,E314))</f>
        <v/>
      </c>
      <c r="G314" s="9" t="n"/>
      <c r="H314">
        <f>IF(A314="","",YEAR(A314))</f>
        <v/>
      </c>
    </row>
    <row r="315">
      <c r="A315" s="10" t="n"/>
      <c r="B315" s="9" t="n"/>
      <c r="C315" s="9" t="n"/>
      <c r="D315" s="14" t="n"/>
      <c r="E315" s="11" t="n"/>
      <c r="F315" s="14">
        <f>IF(OR(A315="",D315=""),"",D315*IF(E315="",1,E315))</f>
        <v/>
      </c>
      <c r="G315" s="9" t="n"/>
      <c r="H315">
        <f>IF(A315="","",YEAR(A315))</f>
        <v/>
      </c>
    </row>
    <row r="316">
      <c r="A316" s="10" t="n"/>
      <c r="B316" s="9" t="n"/>
      <c r="C316" s="9" t="n"/>
      <c r="D316" s="14" t="n"/>
      <c r="E316" s="11" t="n"/>
      <c r="F316" s="14">
        <f>IF(OR(A316="",D316=""),"",D316*IF(E316="",1,E316))</f>
        <v/>
      </c>
      <c r="G316" s="9" t="n"/>
      <c r="H316">
        <f>IF(A316="","",YEAR(A316))</f>
        <v/>
      </c>
    </row>
    <row r="317">
      <c r="A317" s="10" t="n"/>
      <c r="B317" s="9" t="n"/>
      <c r="C317" s="9" t="n"/>
      <c r="D317" s="14" t="n"/>
      <c r="E317" s="11" t="n"/>
      <c r="F317" s="14">
        <f>IF(OR(A317="",D317=""),"",D317*IF(E317="",1,E317))</f>
        <v/>
      </c>
      <c r="G317" s="9" t="n"/>
      <c r="H317">
        <f>IF(A317="","",YEAR(A317))</f>
        <v/>
      </c>
    </row>
    <row r="318">
      <c r="A318" s="10" t="n"/>
      <c r="B318" s="9" t="n"/>
      <c r="C318" s="9" t="n"/>
      <c r="D318" s="14" t="n"/>
      <c r="E318" s="11" t="n"/>
      <c r="F318" s="14">
        <f>IF(OR(A318="",D318=""),"",D318*IF(E318="",1,E318))</f>
        <v/>
      </c>
      <c r="G318" s="9" t="n"/>
      <c r="H318">
        <f>IF(A318="","",YEAR(A318))</f>
        <v/>
      </c>
    </row>
    <row r="319">
      <c r="A319" s="10" t="n"/>
      <c r="B319" s="9" t="n"/>
      <c r="C319" s="9" t="n"/>
      <c r="D319" s="14" t="n"/>
      <c r="E319" s="11" t="n"/>
      <c r="F319" s="14">
        <f>IF(OR(A319="",D319=""),"",D319*IF(E319="",1,E319))</f>
        <v/>
      </c>
      <c r="G319" s="9" t="n"/>
      <c r="H319">
        <f>IF(A319="","",YEAR(A319))</f>
        <v/>
      </c>
    </row>
    <row r="320">
      <c r="A320" s="10" t="n"/>
      <c r="B320" s="9" t="n"/>
      <c r="C320" s="9" t="n"/>
      <c r="D320" s="14" t="n"/>
      <c r="E320" s="11" t="n"/>
      <c r="F320" s="14">
        <f>IF(OR(A320="",D320=""),"",D320*IF(E320="",1,E320))</f>
        <v/>
      </c>
      <c r="G320" s="9" t="n"/>
      <c r="H320">
        <f>IF(A320="","",YEAR(A320))</f>
        <v/>
      </c>
    </row>
    <row r="321">
      <c r="A321" s="10" t="n"/>
      <c r="B321" s="9" t="n"/>
      <c r="C321" s="9" t="n"/>
      <c r="D321" s="14" t="n"/>
      <c r="E321" s="11" t="n"/>
      <c r="F321" s="14">
        <f>IF(OR(A321="",D321=""),"",D321*IF(E321="",1,E321))</f>
        <v/>
      </c>
      <c r="G321" s="9" t="n"/>
      <c r="H321">
        <f>IF(A321="","",YEAR(A321))</f>
        <v/>
      </c>
    </row>
    <row r="322">
      <c r="A322" s="10" t="n"/>
      <c r="B322" s="9" t="n"/>
      <c r="C322" s="9" t="n"/>
      <c r="D322" s="14" t="n"/>
      <c r="E322" s="11" t="n"/>
      <c r="F322" s="14">
        <f>IF(OR(A322="",D322=""),"",D322*IF(E322="",1,E322))</f>
        <v/>
      </c>
      <c r="G322" s="9" t="n"/>
      <c r="H322">
        <f>IF(A322="","",YEAR(A322))</f>
        <v/>
      </c>
    </row>
    <row r="323">
      <c r="A323" s="10" t="n"/>
      <c r="B323" s="9" t="n"/>
      <c r="C323" s="9" t="n"/>
      <c r="D323" s="14" t="n"/>
      <c r="E323" s="11" t="n"/>
      <c r="F323" s="14">
        <f>IF(OR(A323="",D323=""),"",D323*IF(E323="",1,E323))</f>
        <v/>
      </c>
      <c r="G323" s="9" t="n"/>
      <c r="H323">
        <f>IF(A323="","",YEAR(A323))</f>
        <v/>
      </c>
    </row>
    <row r="324">
      <c r="A324" s="10" t="n"/>
      <c r="B324" s="9" t="n"/>
      <c r="C324" s="9" t="n"/>
      <c r="D324" s="14" t="n"/>
      <c r="E324" s="11" t="n"/>
      <c r="F324" s="14">
        <f>IF(OR(A324="",D324=""),"",D324*IF(E324="",1,E324))</f>
        <v/>
      </c>
      <c r="G324" s="9" t="n"/>
      <c r="H324">
        <f>IF(A324="","",YEAR(A324))</f>
        <v/>
      </c>
    </row>
    <row r="325">
      <c r="A325" s="10" t="n"/>
      <c r="B325" s="9" t="n"/>
      <c r="C325" s="9" t="n"/>
      <c r="D325" s="14" t="n"/>
      <c r="E325" s="11" t="n"/>
      <c r="F325" s="14">
        <f>IF(OR(A325="",D325=""),"",D325*IF(E325="",1,E325))</f>
        <v/>
      </c>
      <c r="G325" s="9" t="n"/>
      <c r="H325">
        <f>IF(A325="","",YEAR(A325))</f>
        <v/>
      </c>
    </row>
    <row r="326">
      <c r="A326" s="10" t="n"/>
      <c r="B326" s="9" t="n"/>
      <c r="C326" s="9" t="n"/>
      <c r="D326" s="14" t="n"/>
      <c r="E326" s="11" t="n"/>
      <c r="F326" s="14">
        <f>IF(OR(A326="",D326=""),"",D326*IF(E326="",1,E326))</f>
        <v/>
      </c>
      <c r="G326" s="9" t="n"/>
      <c r="H326">
        <f>IF(A326="","",YEAR(A326))</f>
        <v/>
      </c>
    </row>
    <row r="327">
      <c r="A327" s="10" t="n"/>
      <c r="B327" s="9" t="n"/>
      <c r="C327" s="9" t="n"/>
      <c r="D327" s="14" t="n"/>
      <c r="E327" s="11" t="n"/>
      <c r="F327" s="14">
        <f>IF(OR(A327="",D327=""),"",D327*IF(E327="",1,E327))</f>
        <v/>
      </c>
      <c r="G327" s="9" t="n"/>
      <c r="H327">
        <f>IF(A327="","",YEAR(A327))</f>
        <v/>
      </c>
    </row>
    <row r="328">
      <c r="A328" s="10" t="n"/>
      <c r="B328" s="9" t="n"/>
      <c r="C328" s="9" t="n"/>
      <c r="D328" s="14" t="n"/>
      <c r="E328" s="11" t="n"/>
      <c r="F328" s="14">
        <f>IF(OR(A328="",D328=""),"",D328*IF(E328="",1,E328))</f>
        <v/>
      </c>
      <c r="G328" s="9" t="n"/>
      <c r="H328">
        <f>IF(A328="","",YEAR(A328))</f>
        <v/>
      </c>
    </row>
    <row r="329">
      <c r="A329" s="10" t="n"/>
      <c r="B329" s="9" t="n"/>
      <c r="C329" s="9" t="n"/>
      <c r="D329" s="14" t="n"/>
      <c r="E329" s="11" t="n"/>
      <c r="F329" s="14">
        <f>IF(OR(A329="",D329=""),"",D329*IF(E329="",1,E329))</f>
        <v/>
      </c>
      <c r="G329" s="9" t="n"/>
      <c r="H329">
        <f>IF(A329="","",YEAR(A329))</f>
        <v/>
      </c>
    </row>
    <row r="330">
      <c r="A330" s="10" t="n"/>
      <c r="B330" s="9" t="n"/>
      <c r="C330" s="9" t="n"/>
      <c r="D330" s="14" t="n"/>
      <c r="E330" s="11" t="n"/>
      <c r="F330" s="14">
        <f>IF(OR(A330="",D330=""),"",D330*IF(E330="",1,E330))</f>
        <v/>
      </c>
      <c r="G330" s="9" t="n"/>
      <c r="H330">
        <f>IF(A330="","",YEAR(A330))</f>
        <v/>
      </c>
    </row>
    <row r="331">
      <c r="A331" s="10" t="n"/>
      <c r="B331" s="9" t="n"/>
      <c r="C331" s="9" t="n"/>
      <c r="D331" s="14" t="n"/>
      <c r="E331" s="11" t="n"/>
      <c r="F331" s="14">
        <f>IF(OR(A331="",D331=""),"",D331*IF(E331="",1,E331))</f>
        <v/>
      </c>
      <c r="G331" s="9" t="n"/>
      <c r="H331">
        <f>IF(A331="","",YEAR(A331))</f>
        <v/>
      </c>
    </row>
    <row r="332">
      <c r="A332" s="10" t="n"/>
      <c r="B332" s="9" t="n"/>
      <c r="C332" s="9" t="n"/>
      <c r="D332" s="14" t="n"/>
      <c r="E332" s="11" t="n"/>
      <c r="F332" s="14">
        <f>IF(OR(A332="",D332=""),"",D332*IF(E332="",1,E332))</f>
        <v/>
      </c>
      <c r="G332" s="9" t="n"/>
      <c r="H332">
        <f>IF(A332="","",YEAR(A332))</f>
        <v/>
      </c>
    </row>
    <row r="333">
      <c r="A333" s="10" t="n"/>
      <c r="B333" s="9" t="n"/>
      <c r="C333" s="9" t="n"/>
      <c r="D333" s="14" t="n"/>
      <c r="E333" s="11" t="n"/>
      <c r="F333" s="14">
        <f>IF(OR(A333="",D333=""),"",D333*IF(E333="",1,E333))</f>
        <v/>
      </c>
      <c r="G333" s="9" t="n"/>
      <c r="H333">
        <f>IF(A333="","",YEAR(A333))</f>
        <v/>
      </c>
    </row>
    <row r="334">
      <c r="A334" s="10" t="n"/>
      <c r="B334" s="9" t="n"/>
      <c r="C334" s="9" t="n"/>
      <c r="D334" s="14" t="n"/>
      <c r="E334" s="11" t="n"/>
      <c r="F334" s="14">
        <f>IF(OR(A334="",D334=""),"",D334*IF(E334="",1,E334))</f>
        <v/>
      </c>
      <c r="G334" s="9" t="n"/>
      <c r="H334">
        <f>IF(A334="","",YEAR(A334))</f>
        <v/>
      </c>
    </row>
    <row r="335">
      <c r="A335" s="10" t="n"/>
      <c r="B335" s="9" t="n"/>
      <c r="C335" s="9" t="n"/>
      <c r="D335" s="14" t="n"/>
      <c r="E335" s="11" t="n"/>
      <c r="F335" s="14">
        <f>IF(OR(A335="",D335=""),"",D335*IF(E335="",1,E335))</f>
        <v/>
      </c>
      <c r="G335" s="9" t="n"/>
      <c r="H335">
        <f>IF(A335="","",YEAR(A335))</f>
        <v/>
      </c>
    </row>
    <row r="336">
      <c r="A336" s="10" t="n"/>
      <c r="B336" s="9" t="n"/>
      <c r="C336" s="9" t="n"/>
      <c r="D336" s="14" t="n"/>
      <c r="E336" s="11" t="n"/>
      <c r="F336" s="14">
        <f>IF(OR(A336="",D336=""),"",D336*IF(E336="",1,E336))</f>
        <v/>
      </c>
      <c r="G336" s="9" t="n"/>
      <c r="H336">
        <f>IF(A336="","",YEAR(A336))</f>
        <v/>
      </c>
    </row>
    <row r="337">
      <c r="A337" s="10" t="n"/>
      <c r="B337" s="9" t="n"/>
      <c r="C337" s="9" t="n"/>
      <c r="D337" s="14" t="n"/>
      <c r="E337" s="11" t="n"/>
      <c r="F337" s="14">
        <f>IF(OR(A337="",D337=""),"",D337*IF(E337="",1,E337))</f>
        <v/>
      </c>
      <c r="G337" s="9" t="n"/>
      <c r="H337">
        <f>IF(A337="","",YEAR(A337))</f>
        <v/>
      </c>
    </row>
    <row r="338">
      <c r="A338" s="10" t="n"/>
      <c r="B338" s="9" t="n"/>
      <c r="C338" s="9" t="n"/>
      <c r="D338" s="14" t="n"/>
      <c r="E338" s="11" t="n"/>
      <c r="F338" s="14">
        <f>IF(OR(A338="",D338=""),"",D338*IF(E338="",1,E338))</f>
        <v/>
      </c>
      <c r="G338" s="9" t="n"/>
      <c r="H338">
        <f>IF(A338="","",YEAR(A338))</f>
        <v/>
      </c>
    </row>
    <row r="339">
      <c r="A339" s="10" t="n"/>
      <c r="B339" s="9" t="n"/>
      <c r="C339" s="9" t="n"/>
      <c r="D339" s="14" t="n"/>
      <c r="E339" s="11" t="n"/>
      <c r="F339" s="14">
        <f>IF(OR(A339="",D339=""),"",D339*IF(E339="",1,E339))</f>
        <v/>
      </c>
      <c r="G339" s="9" t="n"/>
      <c r="H339">
        <f>IF(A339="","",YEAR(A339))</f>
        <v/>
      </c>
    </row>
    <row r="340">
      <c r="A340" s="10" t="n"/>
      <c r="B340" s="9" t="n"/>
      <c r="C340" s="9" t="n"/>
      <c r="D340" s="14" t="n"/>
      <c r="E340" s="11" t="n"/>
      <c r="F340" s="14">
        <f>IF(OR(A340="",D340=""),"",D340*IF(E340="",1,E340))</f>
        <v/>
      </c>
      <c r="G340" s="9" t="n"/>
      <c r="H340">
        <f>IF(A340="","",YEAR(A340))</f>
        <v/>
      </c>
    </row>
    <row r="341">
      <c r="A341" s="10" t="n"/>
      <c r="B341" s="9" t="n"/>
      <c r="C341" s="9" t="n"/>
      <c r="D341" s="14" t="n"/>
      <c r="E341" s="11" t="n"/>
      <c r="F341" s="14">
        <f>IF(OR(A341="",D341=""),"",D341*IF(E341="",1,E341))</f>
        <v/>
      </c>
      <c r="G341" s="9" t="n"/>
      <c r="H341">
        <f>IF(A341="","",YEAR(A341))</f>
        <v/>
      </c>
    </row>
    <row r="342">
      <c r="A342" s="10" t="n"/>
      <c r="B342" s="9" t="n"/>
      <c r="C342" s="9" t="n"/>
      <c r="D342" s="14" t="n"/>
      <c r="E342" s="11" t="n"/>
      <c r="F342" s="14">
        <f>IF(OR(A342="",D342=""),"",D342*IF(E342="",1,E342))</f>
        <v/>
      </c>
      <c r="G342" s="9" t="n"/>
      <c r="H342">
        <f>IF(A342="","",YEAR(A342))</f>
        <v/>
      </c>
    </row>
    <row r="343">
      <c r="A343" s="10" t="n"/>
      <c r="B343" s="9" t="n"/>
      <c r="C343" s="9" t="n"/>
      <c r="D343" s="14" t="n"/>
      <c r="E343" s="11" t="n"/>
      <c r="F343" s="14">
        <f>IF(OR(A343="",D343=""),"",D343*IF(E343="",1,E343))</f>
        <v/>
      </c>
      <c r="G343" s="9" t="n"/>
      <c r="H343">
        <f>IF(A343="","",YEAR(A343))</f>
        <v/>
      </c>
    </row>
    <row r="344">
      <c r="A344" s="10" t="n"/>
      <c r="B344" s="9" t="n"/>
      <c r="C344" s="9" t="n"/>
      <c r="D344" s="14" t="n"/>
      <c r="E344" s="11" t="n"/>
      <c r="F344" s="14">
        <f>IF(OR(A344="",D344=""),"",D344*IF(E344="",1,E344))</f>
        <v/>
      </c>
      <c r="G344" s="9" t="n"/>
      <c r="H344">
        <f>IF(A344="","",YEAR(A344))</f>
        <v/>
      </c>
    </row>
    <row r="345">
      <c r="A345" s="10" t="n"/>
      <c r="B345" s="9" t="n"/>
      <c r="C345" s="9" t="n"/>
      <c r="D345" s="14" t="n"/>
      <c r="E345" s="11" t="n"/>
      <c r="F345" s="14">
        <f>IF(OR(A345="",D345=""),"",D345*IF(E345="",1,E345))</f>
        <v/>
      </c>
      <c r="G345" s="9" t="n"/>
      <c r="H345">
        <f>IF(A345="","",YEAR(A345))</f>
        <v/>
      </c>
    </row>
    <row r="346">
      <c r="A346" s="10" t="n"/>
      <c r="B346" s="9" t="n"/>
      <c r="C346" s="9" t="n"/>
      <c r="D346" s="14" t="n"/>
      <c r="E346" s="11" t="n"/>
      <c r="F346" s="14">
        <f>IF(OR(A346="",D346=""),"",D346*IF(E346="",1,E346))</f>
        <v/>
      </c>
      <c r="G346" s="9" t="n"/>
      <c r="H346">
        <f>IF(A346="","",YEAR(A346))</f>
        <v/>
      </c>
    </row>
    <row r="347">
      <c r="A347" s="10" t="n"/>
      <c r="B347" s="9" t="n"/>
      <c r="C347" s="9" t="n"/>
      <c r="D347" s="14" t="n"/>
      <c r="E347" s="11" t="n"/>
      <c r="F347" s="14">
        <f>IF(OR(A347="",D347=""),"",D347*IF(E347="",1,E347))</f>
        <v/>
      </c>
      <c r="G347" s="9" t="n"/>
      <c r="H347">
        <f>IF(A347="","",YEAR(A347))</f>
        <v/>
      </c>
    </row>
    <row r="348">
      <c r="A348" s="10" t="n"/>
      <c r="B348" s="9" t="n"/>
      <c r="C348" s="9" t="n"/>
      <c r="D348" s="14" t="n"/>
      <c r="E348" s="11" t="n"/>
      <c r="F348" s="14">
        <f>IF(OR(A348="",D348=""),"",D348*IF(E348="",1,E348))</f>
        <v/>
      </c>
      <c r="G348" s="9" t="n"/>
      <c r="H348">
        <f>IF(A348="","",YEAR(A348))</f>
        <v/>
      </c>
    </row>
    <row r="349">
      <c r="A349" s="10" t="n"/>
      <c r="B349" s="9" t="n"/>
      <c r="C349" s="9" t="n"/>
      <c r="D349" s="14" t="n"/>
      <c r="E349" s="11" t="n"/>
      <c r="F349" s="14">
        <f>IF(OR(A349="",D349=""),"",D349*IF(E349="",1,E349))</f>
        <v/>
      </c>
      <c r="G349" s="9" t="n"/>
      <c r="H349">
        <f>IF(A349="","",YEAR(A349))</f>
        <v/>
      </c>
    </row>
    <row r="350">
      <c r="A350" s="10" t="n"/>
      <c r="B350" s="9" t="n"/>
      <c r="C350" s="9" t="n"/>
      <c r="D350" s="14" t="n"/>
      <c r="E350" s="11" t="n"/>
      <c r="F350" s="14">
        <f>IF(OR(A350="",D350=""),"",D350*IF(E350="",1,E350))</f>
        <v/>
      </c>
      <c r="G350" s="9" t="n"/>
      <c r="H350">
        <f>IF(A350="","",YEAR(A350))</f>
        <v/>
      </c>
    </row>
    <row r="351">
      <c r="A351" s="10" t="n"/>
      <c r="B351" s="9" t="n"/>
      <c r="C351" s="9" t="n"/>
      <c r="D351" s="14" t="n"/>
      <c r="E351" s="11" t="n"/>
      <c r="F351" s="14">
        <f>IF(OR(A351="",D351=""),"",D351*IF(E351="",1,E351))</f>
        <v/>
      </c>
      <c r="G351" s="9" t="n"/>
      <c r="H351">
        <f>IF(A351="","",YEAR(A351))</f>
        <v/>
      </c>
    </row>
    <row r="352">
      <c r="A352" s="10" t="n"/>
      <c r="B352" s="9" t="n"/>
      <c r="C352" s="9" t="n"/>
      <c r="D352" s="14" t="n"/>
      <c r="E352" s="11" t="n"/>
      <c r="F352" s="14">
        <f>IF(OR(A352="",D352=""),"",D352*IF(E352="",1,E352))</f>
        <v/>
      </c>
      <c r="G352" s="9" t="n"/>
      <c r="H352">
        <f>IF(A352="","",YEAR(A352))</f>
        <v/>
      </c>
    </row>
    <row r="353">
      <c r="A353" s="10" t="n"/>
      <c r="B353" s="9" t="n"/>
      <c r="C353" s="9" t="n"/>
      <c r="D353" s="14" t="n"/>
      <c r="E353" s="11" t="n"/>
      <c r="F353" s="14">
        <f>IF(OR(A353="",D353=""),"",D353*IF(E353="",1,E353))</f>
        <v/>
      </c>
      <c r="G353" s="9" t="n"/>
      <c r="H353">
        <f>IF(A353="","",YEAR(A353))</f>
        <v/>
      </c>
    </row>
    <row r="354">
      <c r="A354" s="10" t="n"/>
      <c r="B354" s="9" t="n"/>
      <c r="C354" s="9" t="n"/>
      <c r="D354" s="14" t="n"/>
      <c r="E354" s="11" t="n"/>
      <c r="F354" s="14">
        <f>IF(OR(A354="",D354=""),"",D354*IF(E354="",1,E354))</f>
        <v/>
      </c>
      <c r="G354" s="9" t="n"/>
      <c r="H354">
        <f>IF(A354="","",YEAR(A354))</f>
        <v/>
      </c>
    </row>
    <row r="355">
      <c r="A355" s="10" t="n"/>
      <c r="B355" s="9" t="n"/>
      <c r="C355" s="9" t="n"/>
      <c r="D355" s="14" t="n"/>
      <c r="E355" s="11" t="n"/>
      <c r="F355" s="14">
        <f>IF(OR(A355="",D355=""),"",D355*IF(E355="",1,E355))</f>
        <v/>
      </c>
      <c r="G355" s="9" t="n"/>
      <c r="H355">
        <f>IF(A355="","",YEAR(A355))</f>
        <v/>
      </c>
    </row>
    <row r="356">
      <c r="A356" s="10" t="n"/>
      <c r="B356" s="9" t="n"/>
      <c r="C356" s="9" t="n"/>
      <c r="D356" s="14" t="n"/>
      <c r="E356" s="11" t="n"/>
      <c r="F356" s="14">
        <f>IF(OR(A356="",D356=""),"",D356*IF(E356="",1,E356))</f>
        <v/>
      </c>
      <c r="G356" s="9" t="n"/>
      <c r="H356">
        <f>IF(A356="","",YEAR(A356))</f>
        <v/>
      </c>
    </row>
    <row r="357">
      <c r="A357" s="10" t="n"/>
      <c r="B357" s="9" t="n"/>
      <c r="C357" s="9" t="n"/>
      <c r="D357" s="14" t="n"/>
      <c r="E357" s="11" t="n"/>
      <c r="F357" s="14">
        <f>IF(OR(A357="",D357=""),"",D357*IF(E357="",1,E357))</f>
        <v/>
      </c>
      <c r="G357" s="9" t="n"/>
      <c r="H357">
        <f>IF(A357="","",YEAR(A357))</f>
        <v/>
      </c>
    </row>
    <row r="358">
      <c r="A358" s="10" t="n"/>
      <c r="B358" s="9" t="n"/>
      <c r="C358" s="9" t="n"/>
      <c r="D358" s="14" t="n"/>
      <c r="E358" s="11" t="n"/>
      <c r="F358" s="14">
        <f>IF(OR(A358="",D358=""),"",D358*IF(E358="",1,E358))</f>
        <v/>
      </c>
      <c r="G358" s="9" t="n"/>
      <c r="H358">
        <f>IF(A358="","",YEAR(A358))</f>
        <v/>
      </c>
    </row>
    <row r="359">
      <c r="A359" s="10" t="n"/>
      <c r="B359" s="9" t="n"/>
      <c r="C359" s="9" t="n"/>
      <c r="D359" s="14" t="n"/>
      <c r="E359" s="11" t="n"/>
      <c r="F359" s="14">
        <f>IF(OR(A359="",D359=""),"",D359*IF(E359="",1,E359))</f>
        <v/>
      </c>
      <c r="G359" s="9" t="n"/>
      <c r="H359">
        <f>IF(A359="","",YEAR(A359))</f>
        <v/>
      </c>
    </row>
    <row r="360">
      <c r="A360" s="10" t="n"/>
      <c r="B360" s="9" t="n"/>
      <c r="C360" s="9" t="n"/>
      <c r="D360" s="14" t="n"/>
      <c r="E360" s="11" t="n"/>
      <c r="F360" s="14">
        <f>IF(OR(A360="",D360=""),"",D360*IF(E360="",1,E360))</f>
        <v/>
      </c>
      <c r="G360" s="9" t="n"/>
      <c r="H360">
        <f>IF(A360="","",YEAR(A360))</f>
        <v/>
      </c>
    </row>
    <row r="361">
      <c r="A361" s="10" t="n"/>
      <c r="B361" s="9" t="n"/>
      <c r="C361" s="9" t="n"/>
      <c r="D361" s="14" t="n"/>
      <c r="E361" s="11" t="n"/>
      <c r="F361" s="14">
        <f>IF(OR(A361="",D361=""),"",D361*IF(E361="",1,E361))</f>
        <v/>
      </c>
      <c r="G361" s="9" t="n"/>
      <c r="H361">
        <f>IF(A361="","",YEAR(A361))</f>
        <v/>
      </c>
    </row>
    <row r="362">
      <c r="A362" s="10" t="n"/>
      <c r="B362" s="9" t="n"/>
      <c r="C362" s="9" t="n"/>
      <c r="D362" s="14" t="n"/>
      <c r="E362" s="11" t="n"/>
      <c r="F362" s="14">
        <f>IF(OR(A362="",D362=""),"",D362*IF(E362="",1,E362))</f>
        <v/>
      </c>
      <c r="G362" s="9" t="n"/>
      <c r="H362">
        <f>IF(A362="","",YEAR(A362))</f>
        <v/>
      </c>
    </row>
    <row r="363">
      <c r="A363" s="10" t="n"/>
      <c r="B363" s="9" t="n"/>
      <c r="C363" s="9" t="n"/>
      <c r="D363" s="14" t="n"/>
      <c r="E363" s="11" t="n"/>
      <c r="F363" s="14">
        <f>IF(OR(A363="",D363=""),"",D363*IF(E363="",1,E363))</f>
        <v/>
      </c>
      <c r="G363" s="9" t="n"/>
      <c r="H363">
        <f>IF(A363="","",YEAR(A363))</f>
        <v/>
      </c>
    </row>
    <row r="364">
      <c r="A364" s="10" t="n"/>
      <c r="B364" s="9" t="n"/>
      <c r="C364" s="9" t="n"/>
      <c r="D364" s="14" t="n"/>
      <c r="E364" s="11" t="n"/>
      <c r="F364" s="14">
        <f>IF(OR(A364="",D364=""),"",D364*IF(E364="",1,E364))</f>
        <v/>
      </c>
      <c r="G364" s="9" t="n"/>
      <c r="H364">
        <f>IF(A364="","",YEAR(A364))</f>
        <v/>
      </c>
    </row>
    <row r="365">
      <c r="A365" s="10" t="n"/>
      <c r="B365" s="9" t="n"/>
      <c r="C365" s="9" t="n"/>
      <c r="D365" s="14" t="n"/>
      <c r="E365" s="11" t="n"/>
      <c r="F365" s="14">
        <f>IF(OR(A365="",D365=""),"",D365*IF(E365="",1,E365))</f>
        <v/>
      </c>
      <c r="G365" s="9" t="n"/>
      <c r="H365">
        <f>IF(A365="","",YEAR(A365))</f>
        <v/>
      </c>
    </row>
    <row r="366">
      <c r="A366" s="10" t="n"/>
      <c r="B366" s="9" t="n"/>
      <c r="C366" s="9" t="n"/>
      <c r="D366" s="14" t="n"/>
      <c r="E366" s="11" t="n"/>
      <c r="F366" s="14">
        <f>IF(OR(A366="",D366=""),"",D366*IF(E366="",1,E366))</f>
        <v/>
      </c>
      <c r="G366" s="9" t="n"/>
      <c r="H366">
        <f>IF(A366="","",YEAR(A366))</f>
        <v/>
      </c>
    </row>
    <row r="367">
      <c r="A367" s="10" t="n"/>
      <c r="B367" s="9" t="n"/>
      <c r="C367" s="9" t="n"/>
      <c r="D367" s="14" t="n"/>
      <c r="E367" s="11" t="n"/>
      <c r="F367" s="14">
        <f>IF(OR(A367="",D367=""),"",D367*IF(E367="",1,E367))</f>
        <v/>
      </c>
      <c r="G367" s="9" t="n"/>
      <c r="H367">
        <f>IF(A367="","",YEAR(A367))</f>
        <v/>
      </c>
    </row>
    <row r="368">
      <c r="A368" s="10" t="n"/>
      <c r="B368" s="9" t="n"/>
      <c r="C368" s="9" t="n"/>
      <c r="D368" s="14" t="n"/>
      <c r="E368" s="11" t="n"/>
      <c r="F368" s="14">
        <f>IF(OR(A368="",D368=""),"",D368*IF(E368="",1,E368))</f>
        <v/>
      </c>
      <c r="G368" s="9" t="n"/>
      <c r="H368">
        <f>IF(A368="","",YEAR(A368))</f>
        <v/>
      </c>
    </row>
    <row r="369">
      <c r="A369" s="10" t="n"/>
      <c r="B369" s="9" t="n"/>
      <c r="C369" s="9" t="n"/>
      <c r="D369" s="14" t="n"/>
      <c r="E369" s="11" t="n"/>
      <c r="F369" s="14">
        <f>IF(OR(A369="",D369=""),"",D369*IF(E369="",1,E369))</f>
        <v/>
      </c>
      <c r="G369" s="9" t="n"/>
      <c r="H369">
        <f>IF(A369="","",YEAR(A369))</f>
        <v/>
      </c>
    </row>
    <row r="370">
      <c r="A370" s="10" t="n"/>
      <c r="B370" s="9" t="n"/>
      <c r="C370" s="9" t="n"/>
      <c r="D370" s="14" t="n"/>
      <c r="E370" s="11" t="n"/>
      <c r="F370" s="14">
        <f>IF(OR(A370="",D370=""),"",D370*IF(E370="",1,E370))</f>
        <v/>
      </c>
      <c r="G370" s="9" t="n"/>
      <c r="H370">
        <f>IF(A370="","",YEAR(A370))</f>
        <v/>
      </c>
    </row>
    <row r="371">
      <c r="A371" s="10" t="n"/>
      <c r="B371" s="9" t="n"/>
      <c r="C371" s="9" t="n"/>
      <c r="D371" s="14" t="n"/>
      <c r="E371" s="11" t="n"/>
      <c r="F371" s="14">
        <f>IF(OR(A371="",D371=""),"",D371*IF(E371="",1,E371))</f>
        <v/>
      </c>
      <c r="G371" s="9" t="n"/>
      <c r="H371">
        <f>IF(A371="","",YEAR(A371))</f>
        <v/>
      </c>
    </row>
    <row r="372">
      <c r="A372" s="10" t="n"/>
      <c r="B372" s="9" t="n"/>
      <c r="C372" s="9" t="n"/>
      <c r="D372" s="14" t="n"/>
      <c r="E372" s="11" t="n"/>
      <c r="F372" s="14">
        <f>IF(OR(A372="",D372=""),"",D372*IF(E372="",1,E372))</f>
        <v/>
      </c>
      <c r="G372" s="9" t="n"/>
      <c r="H372">
        <f>IF(A372="","",YEAR(A372))</f>
        <v/>
      </c>
    </row>
    <row r="373">
      <c r="A373" s="10" t="n"/>
      <c r="B373" s="9" t="n"/>
      <c r="C373" s="9" t="n"/>
      <c r="D373" s="14" t="n"/>
      <c r="E373" s="11" t="n"/>
      <c r="F373" s="14">
        <f>IF(OR(A373="",D373=""),"",D373*IF(E373="",1,E373))</f>
        <v/>
      </c>
      <c r="G373" s="9" t="n"/>
      <c r="H373">
        <f>IF(A373="","",YEAR(A373))</f>
        <v/>
      </c>
    </row>
    <row r="374">
      <c r="A374" s="10" t="n"/>
      <c r="B374" s="9" t="n"/>
      <c r="C374" s="9" t="n"/>
      <c r="D374" s="14" t="n"/>
      <c r="E374" s="11" t="n"/>
      <c r="F374" s="14">
        <f>IF(OR(A374="",D374=""),"",D374*IF(E374="",1,E374))</f>
        <v/>
      </c>
      <c r="G374" s="9" t="n"/>
      <c r="H374">
        <f>IF(A374="","",YEAR(A374))</f>
        <v/>
      </c>
    </row>
    <row r="375">
      <c r="A375" s="10" t="n"/>
      <c r="B375" s="9" t="n"/>
      <c r="C375" s="9" t="n"/>
      <c r="D375" s="14" t="n"/>
      <c r="E375" s="11" t="n"/>
      <c r="F375" s="14">
        <f>IF(OR(A375="",D375=""),"",D375*IF(E375="",1,E375))</f>
        <v/>
      </c>
      <c r="G375" s="9" t="n"/>
      <c r="H375">
        <f>IF(A375="","",YEAR(A375))</f>
        <v/>
      </c>
    </row>
    <row r="376">
      <c r="A376" s="10" t="n"/>
      <c r="B376" s="9" t="n"/>
      <c r="C376" s="9" t="n"/>
      <c r="D376" s="14" t="n"/>
      <c r="E376" s="11" t="n"/>
      <c r="F376" s="14">
        <f>IF(OR(A376="",D376=""),"",D376*IF(E376="",1,E376))</f>
        <v/>
      </c>
      <c r="G376" s="9" t="n"/>
      <c r="H376">
        <f>IF(A376="","",YEAR(A376))</f>
        <v/>
      </c>
    </row>
    <row r="377">
      <c r="A377" s="10" t="n"/>
      <c r="B377" s="9" t="n"/>
      <c r="C377" s="9" t="n"/>
      <c r="D377" s="14" t="n"/>
      <c r="E377" s="11" t="n"/>
      <c r="F377" s="14">
        <f>IF(OR(A377="",D377=""),"",D377*IF(E377="",1,E377))</f>
        <v/>
      </c>
      <c r="G377" s="9" t="n"/>
      <c r="H377">
        <f>IF(A377="","",YEAR(A377))</f>
        <v/>
      </c>
    </row>
    <row r="378">
      <c r="A378" s="10" t="n"/>
      <c r="B378" s="9" t="n"/>
      <c r="C378" s="9" t="n"/>
      <c r="D378" s="14" t="n"/>
      <c r="E378" s="11" t="n"/>
      <c r="F378" s="14">
        <f>IF(OR(A378="",D378=""),"",D378*IF(E378="",1,E378))</f>
        <v/>
      </c>
      <c r="G378" s="9" t="n"/>
      <c r="H378">
        <f>IF(A378="","",YEAR(A378))</f>
        <v/>
      </c>
    </row>
    <row r="379">
      <c r="A379" s="10" t="n"/>
      <c r="B379" s="9" t="n"/>
      <c r="C379" s="9" t="n"/>
      <c r="D379" s="14" t="n"/>
      <c r="E379" s="11" t="n"/>
      <c r="F379" s="14">
        <f>IF(OR(A379="",D379=""),"",D379*IF(E379="",1,E379))</f>
        <v/>
      </c>
      <c r="G379" s="9" t="n"/>
      <c r="H379">
        <f>IF(A379="","",YEAR(A379))</f>
        <v/>
      </c>
    </row>
    <row r="380">
      <c r="A380" s="10" t="n"/>
      <c r="B380" s="9" t="n"/>
      <c r="C380" s="9" t="n"/>
      <c r="D380" s="14" t="n"/>
      <c r="E380" s="11" t="n"/>
      <c r="F380" s="14">
        <f>IF(OR(A380="",D380=""),"",D380*IF(E380="",1,E380))</f>
        <v/>
      </c>
      <c r="G380" s="9" t="n"/>
      <c r="H380">
        <f>IF(A380="","",YEAR(A380))</f>
        <v/>
      </c>
    </row>
    <row r="381">
      <c r="A381" s="10" t="n"/>
      <c r="B381" s="9" t="n"/>
      <c r="C381" s="9" t="n"/>
      <c r="D381" s="14" t="n"/>
      <c r="E381" s="11" t="n"/>
      <c r="F381" s="14">
        <f>IF(OR(A381="",D381=""),"",D381*IF(E381="",1,E381))</f>
        <v/>
      </c>
      <c r="G381" s="9" t="n"/>
      <c r="H381">
        <f>IF(A381="","",YEAR(A381))</f>
        <v/>
      </c>
    </row>
    <row r="382">
      <c r="A382" s="10" t="n"/>
      <c r="B382" s="9" t="n"/>
      <c r="C382" s="9" t="n"/>
      <c r="D382" s="14" t="n"/>
      <c r="E382" s="11" t="n"/>
      <c r="F382" s="14">
        <f>IF(OR(A382="",D382=""),"",D382*IF(E382="",1,E382))</f>
        <v/>
      </c>
      <c r="G382" s="9" t="n"/>
      <c r="H382">
        <f>IF(A382="","",YEAR(A382))</f>
        <v/>
      </c>
    </row>
    <row r="383">
      <c r="A383" s="10" t="n"/>
      <c r="B383" s="9" t="n"/>
      <c r="C383" s="9" t="n"/>
      <c r="D383" s="14" t="n"/>
      <c r="E383" s="11" t="n"/>
      <c r="F383" s="14">
        <f>IF(OR(A383="",D383=""),"",D383*IF(E383="",1,E383))</f>
        <v/>
      </c>
      <c r="G383" s="9" t="n"/>
      <c r="H383">
        <f>IF(A383="","",YEAR(A383))</f>
        <v/>
      </c>
    </row>
    <row r="384">
      <c r="A384" s="10" t="n"/>
      <c r="B384" s="9" t="n"/>
      <c r="C384" s="9" t="n"/>
      <c r="D384" s="14" t="n"/>
      <c r="E384" s="11" t="n"/>
      <c r="F384" s="14">
        <f>IF(OR(A384="",D384=""),"",D384*IF(E384="",1,E384))</f>
        <v/>
      </c>
      <c r="G384" s="9" t="n"/>
      <c r="H384">
        <f>IF(A384="","",YEAR(A384))</f>
        <v/>
      </c>
    </row>
    <row r="385">
      <c r="A385" s="10" t="n"/>
      <c r="B385" s="9" t="n"/>
      <c r="C385" s="9" t="n"/>
      <c r="D385" s="14" t="n"/>
      <c r="E385" s="11" t="n"/>
      <c r="F385" s="14">
        <f>IF(OR(A385="",D385=""),"",D385*IF(E385="",1,E385))</f>
        <v/>
      </c>
      <c r="G385" s="9" t="n"/>
      <c r="H385">
        <f>IF(A385="","",YEAR(A385))</f>
        <v/>
      </c>
    </row>
    <row r="386">
      <c r="A386" s="10" t="n"/>
      <c r="B386" s="9" t="n"/>
      <c r="C386" s="9" t="n"/>
      <c r="D386" s="14" t="n"/>
      <c r="E386" s="11" t="n"/>
      <c r="F386" s="14">
        <f>IF(OR(A386="",D386=""),"",D386*IF(E386="",1,E386))</f>
        <v/>
      </c>
      <c r="G386" s="9" t="n"/>
      <c r="H386">
        <f>IF(A386="","",YEAR(A386))</f>
        <v/>
      </c>
    </row>
    <row r="387">
      <c r="A387" s="10" t="n"/>
      <c r="B387" s="9" t="n"/>
      <c r="C387" s="9" t="n"/>
      <c r="D387" s="14" t="n"/>
      <c r="E387" s="11" t="n"/>
      <c r="F387" s="14">
        <f>IF(OR(A387="",D387=""),"",D387*IF(E387="",1,E387))</f>
        <v/>
      </c>
      <c r="G387" s="9" t="n"/>
      <c r="H387">
        <f>IF(A387="","",YEAR(A387))</f>
        <v/>
      </c>
    </row>
    <row r="388">
      <c r="A388" s="10" t="n"/>
      <c r="B388" s="9" t="n"/>
      <c r="C388" s="9" t="n"/>
      <c r="D388" s="14" t="n"/>
      <c r="E388" s="11" t="n"/>
      <c r="F388" s="14">
        <f>IF(OR(A388="",D388=""),"",D388*IF(E388="",1,E388))</f>
        <v/>
      </c>
      <c r="G388" s="9" t="n"/>
      <c r="H388">
        <f>IF(A388="","",YEAR(A388))</f>
        <v/>
      </c>
    </row>
    <row r="389">
      <c r="A389" s="10" t="n"/>
      <c r="B389" s="9" t="n"/>
      <c r="C389" s="9" t="n"/>
      <c r="D389" s="14" t="n"/>
      <c r="E389" s="11" t="n"/>
      <c r="F389" s="14">
        <f>IF(OR(A389="",D389=""),"",D389*IF(E389="",1,E389))</f>
        <v/>
      </c>
      <c r="G389" s="9" t="n"/>
      <c r="H389">
        <f>IF(A389="","",YEAR(A389))</f>
        <v/>
      </c>
    </row>
    <row r="390">
      <c r="A390" s="10" t="n"/>
      <c r="B390" s="9" t="n"/>
      <c r="C390" s="9" t="n"/>
      <c r="D390" s="14" t="n"/>
      <c r="E390" s="11" t="n"/>
      <c r="F390" s="14">
        <f>IF(OR(A390="",D390=""),"",D390*IF(E390="",1,E390))</f>
        <v/>
      </c>
      <c r="G390" s="9" t="n"/>
      <c r="H390">
        <f>IF(A390="","",YEAR(A390))</f>
        <v/>
      </c>
    </row>
    <row r="391">
      <c r="A391" s="10" t="n"/>
      <c r="B391" s="9" t="n"/>
      <c r="C391" s="9" t="n"/>
      <c r="D391" s="14" t="n"/>
      <c r="E391" s="11" t="n"/>
      <c r="F391" s="14">
        <f>IF(OR(A391="",D391=""),"",D391*IF(E391="",1,E391))</f>
        <v/>
      </c>
      <c r="G391" s="9" t="n"/>
      <c r="H391">
        <f>IF(A391="","",YEAR(A391))</f>
        <v/>
      </c>
    </row>
    <row r="392">
      <c r="A392" s="10" t="n"/>
      <c r="B392" s="9" t="n"/>
      <c r="C392" s="9" t="n"/>
      <c r="D392" s="14" t="n"/>
      <c r="E392" s="11" t="n"/>
      <c r="F392" s="14">
        <f>IF(OR(A392="",D392=""),"",D392*IF(E392="",1,E392))</f>
        <v/>
      </c>
      <c r="G392" s="9" t="n"/>
      <c r="H392">
        <f>IF(A392="","",YEAR(A392))</f>
        <v/>
      </c>
    </row>
    <row r="393">
      <c r="A393" s="10" t="n"/>
      <c r="B393" s="9" t="n"/>
      <c r="C393" s="9" t="n"/>
      <c r="D393" s="14" t="n"/>
      <c r="E393" s="11" t="n"/>
      <c r="F393" s="14">
        <f>IF(OR(A393="",D393=""),"",D393*IF(E393="",1,E393))</f>
        <v/>
      </c>
      <c r="G393" s="9" t="n"/>
      <c r="H393">
        <f>IF(A393="","",YEAR(A393))</f>
        <v/>
      </c>
    </row>
    <row r="394">
      <c r="A394" s="10" t="n"/>
      <c r="B394" s="9" t="n"/>
      <c r="C394" s="9" t="n"/>
      <c r="D394" s="14" t="n"/>
      <c r="E394" s="11" t="n"/>
      <c r="F394" s="14">
        <f>IF(OR(A394="",D394=""),"",D394*IF(E394="",1,E394))</f>
        <v/>
      </c>
      <c r="G394" s="9" t="n"/>
      <c r="H394">
        <f>IF(A394="","",YEAR(A394))</f>
        <v/>
      </c>
    </row>
    <row r="395">
      <c r="A395" s="10" t="n"/>
      <c r="B395" s="9" t="n"/>
      <c r="C395" s="9" t="n"/>
      <c r="D395" s="14" t="n"/>
      <c r="E395" s="11" t="n"/>
      <c r="F395" s="14">
        <f>IF(OR(A395="",D395=""),"",D395*IF(E395="",1,E395))</f>
        <v/>
      </c>
      <c r="G395" s="9" t="n"/>
      <c r="H395">
        <f>IF(A395="","",YEAR(A395))</f>
        <v/>
      </c>
    </row>
    <row r="396">
      <c r="A396" s="10" t="n"/>
      <c r="B396" s="9" t="n"/>
      <c r="C396" s="9" t="n"/>
      <c r="D396" s="14" t="n"/>
      <c r="E396" s="11" t="n"/>
      <c r="F396" s="14">
        <f>IF(OR(A396="",D396=""),"",D396*IF(E396="",1,E396))</f>
        <v/>
      </c>
      <c r="G396" s="9" t="n"/>
      <c r="H396">
        <f>IF(A396="","",YEAR(A396))</f>
        <v/>
      </c>
    </row>
    <row r="397">
      <c r="A397" s="10" t="n"/>
      <c r="B397" s="9" t="n"/>
      <c r="C397" s="9" t="n"/>
      <c r="D397" s="14" t="n"/>
      <c r="E397" s="11" t="n"/>
      <c r="F397" s="14">
        <f>IF(OR(A397="",D397=""),"",D397*IF(E397="",1,E397))</f>
        <v/>
      </c>
      <c r="G397" s="9" t="n"/>
      <c r="H397">
        <f>IF(A397="","",YEAR(A397))</f>
        <v/>
      </c>
    </row>
    <row r="398">
      <c r="A398" s="10" t="n"/>
      <c r="B398" s="9" t="n"/>
      <c r="C398" s="9" t="n"/>
      <c r="D398" s="14" t="n"/>
      <c r="E398" s="11" t="n"/>
      <c r="F398" s="14">
        <f>IF(OR(A398="",D398=""),"",D398*IF(E398="",1,E398))</f>
        <v/>
      </c>
      <c r="G398" s="9" t="n"/>
      <c r="H398">
        <f>IF(A398="","",YEAR(A398))</f>
        <v/>
      </c>
    </row>
    <row r="399">
      <c r="A399" s="10" t="n"/>
      <c r="B399" s="9" t="n"/>
      <c r="C399" s="9" t="n"/>
      <c r="D399" s="14" t="n"/>
      <c r="E399" s="11" t="n"/>
      <c r="F399" s="14">
        <f>IF(OR(A399="",D399=""),"",D399*IF(E399="",1,E399))</f>
        <v/>
      </c>
      <c r="G399" s="9" t="n"/>
      <c r="H399">
        <f>IF(A399="","",YEAR(A399))</f>
        <v/>
      </c>
    </row>
    <row r="400">
      <c r="A400" s="10" t="n"/>
      <c r="B400" s="9" t="n"/>
      <c r="C400" s="9" t="n"/>
      <c r="D400" s="14" t="n"/>
      <c r="E400" s="11" t="n"/>
      <c r="F400" s="14">
        <f>IF(OR(A400="",D400=""),"",D400*IF(E400="",1,E400))</f>
        <v/>
      </c>
      <c r="G400" s="9" t="n"/>
      <c r="H400">
        <f>IF(A400="","",YEAR(A400))</f>
        <v/>
      </c>
    </row>
    <row r="401">
      <c r="A401" s="10" t="n"/>
      <c r="B401" s="9" t="n"/>
      <c r="C401" s="9" t="n"/>
      <c r="D401" s="14" t="n"/>
      <c r="E401" s="11" t="n"/>
      <c r="F401" s="14">
        <f>IF(OR(A401="",D401=""),"",D401*IF(E401="",1,E401))</f>
        <v/>
      </c>
      <c r="G401" s="9" t="n"/>
      <c r="H401">
        <f>IF(A401="","",YEAR(A401))</f>
        <v/>
      </c>
    </row>
    <row r="402">
      <c r="A402" s="10" t="n"/>
      <c r="B402" s="9" t="n"/>
      <c r="C402" s="9" t="n"/>
      <c r="D402" s="14" t="n"/>
      <c r="E402" s="11" t="n"/>
      <c r="F402" s="14">
        <f>IF(OR(A402="",D402=""),"",D402*IF(E402="",1,E402))</f>
        <v/>
      </c>
      <c r="G402" s="9" t="n"/>
      <c r="H402">
        <f>IF(A402="","",YEAR(A402))</f>
        <v/>
      </c>
    </row>
    <row r="403">
      <c r="A403" s="10" t="n"/>
      <c r="B403" s="9" t="n"/>
      <c r="C403" s="9" t="n"/>
      <c r="D403" s="14" t="n"/>
      <c r="E403" s="11" t="n"/>
      <c r="F403" s="14">
        <f>IF(OR(A403="",D403=""),"",D403*IF(E403="",1,E403))</f>
        <v/>
      </c>
      <c r="G403" s="9" t="n"/>
      <c r="H403">
        <f>IF(A403="","",YEAR(A403))</f>
        <v/>
      </c>
    </row>
    <row r="404">
      <c r="A404" s="10" t="n"/>
      <c r="B404" s="9" t="n"/>
      <c r="C404" s="9" t="n"/>
      <c r="D404" s="14" t="n"/>
      <c r="E404" s="11" t="n"/>
      <c r="F404" s="14">
        <f>IF(OR(A404="",D404=""),"",D404*IF(E404="",1,E404))</f>
        <v/>
      </c>
      <c r="G404" s="9" t="n"/>
      <c r="H404">
        <f>IF(A404="","",YEAR(A404))</f>
        <v/>
      </c>
    </row>
    <row r="405">
      <c r="A405" s="10" t="n"/>
      <c r="B405" s="9" t="n"/>
      <c r="C405" s="9" t="n"/>
      <c r="D405" s="14" t="n"/>
      <c r="E405" s="11" t="n"/>
      <c r="F405" s="14">
        <f>IF(OR(A405="",D405=""),"",D405*IF(E405="",1,E405))</f>
        <v/>
      </c>
      <c r="G405" s="9" t="n"/>
      <c r="H405">
        <f>IF(A405="","",YEAR(A405))</f>
        <v/>
      </c>
    </row>
    <row r="406">
      <c r="A406" s="10" t="n"/>
      <c r="B406" s="9" t="n"/>
      <c r="C406" s="9" t="n"/>
      <c r="D406" s="14" t="n"/>
      <c r="E406" s="11" t="n"/>
      <c r="F406" s="14">
        <f>IF(OR(A406="",D406=""),"",D406*IF(E406="",1,E406))</f>
        <v/>
      </c>
      <c r="G406" s="9" t="n"/>
      <c r="H406">
        <f>IF(A406="","",YEAR(A406))</f>
        <v/>
      </c>
    </row>
    <row r="407">
      <c r="A407" s="10" t="n"/>
      <c r="B407" s="9" t="n"/>
      <c r="C407" s="9" t="n"/>
      <c r="D407" s="14" t="n"/>
      <c r="E407" s="11" t="n"/>
      <c r="F407" s="14">
        <f>IF(OR(A407="",D407=""),"",D407*IF(E407="",1,E407))</f>
        <v/>
      </c>
      <c r="G407" s="9" t="n"/>
      <c r="H407">
        <f>IF(A407="","",YEAR(A407))</f>
        <v/>
      </c>
    </row>
    <row r="408">
      <c r="A408" s="10" t="n"/>
      <c r="B408" s="9" t="n"/>
      <c r="C408" s="9" t="n"/>
      <c r="D408" s="14" t="n"/>
      <c r="E408" s="11" t="n"/>
      <c r="F408" s="14">
        <f>IF(OR(A408="",D408=""),"",D408*IF(E408="",1,E408))</f>
        <v/>
      </c>
      <c r="G408" s="9" t="n"/>
      <c r="H408">
        <f>IF(A408="","",YEAR(A408))</f>
        <v/>
      </c>
    </row>
    <row r="409">
      <c r="A409" s="10" t="n"/>
      <c r="B409" s="9" t="n"/>
      <c r="C409" s="9" t="n"/>
      <c r="D409" s="14" t="n"/>
      <c r="E409" s="11" t="n"/>
      <c r="F409" s="14">
        <f>IF(OR(A409="",D409=""),"",D409*IF(E409="",1,E409))</f>
        <v/>
      </c>
      <c r="G409" s="9" t="n"/>
      <c r="H409">
        <f>IF(A409="","",YEAR(A409))</f>
        <v/>
      </c>
    </row>
    <row r="410">
      <c r="A410" s="10" t="n"/>
      <c r="B410" s="9" t="n"/>
      <c r="C410" s="9" t="n"/>
      <c r="D410" s="14" t="n"/>
      <c r="E410" s="11" t="n"/>
      <c r="F410" s="14">
        <f>IF(OR(A410="",D410=""),"",D410*IF(E410="",1,E410))</f>
        <v/>
      </c>
      <c r="G410" s="9" t="n"/>
      <c r="H410">
        <f>IF(A410="","",YEAR(A410))</f>
        <v/>
      </c>
    </row>
    <row r="411">
      <c r="A411" s="10" t="n"/>
      <c r="B411" s="9" t="n"/>
      <c r="C411" s="9" t="n"/>
      <c r="D411" s="14" t="n"/>
      <c r="E411" s="11" t="n"/>
      <c r="F411" s="14">
        <f>IF(OR(A411="",D411=""),"",D411*IF(E411="",1,E411))</f>
        <v/>
      </c>
      <c r="G411" s="9" t="n"/>
      <c r="H411">
        <f>IF(A411="","",YEAR(A411))</f>
        <v/>
      </c>
    </row>
    <row r="412">
      <c r="A412" s="10" t="n"/>
      <c r="B412" s="9" t="n"/>
      <c r="C412" s="9" t="n"/>
      <c r="D412" s="14" t="n"/>
      <c r="E412" s="11" t="n"/>
      <c r="F412" s="14">
        <f>IF(OR(A412="",D412=""),"",D412*IF(E412="",1,E412))</f>
        <v/>
      </c>
      <c r="G412" s="9" t="n"/>
      <c r="H412">
        <f>IF(A412="","",YEAR(A412))</f>
        <v/>
      </c>
    </row>
    <row r="413">
      <c r="A413" s="10" t="n"/>
      <c r="B413" s="9" t="n"/>
      <c r="C413" s="9" t="n"/>
      <c r="D413" s="14" t="n"/>
      <c r="E413" s="11" t="n"/>
      <c r="F413" s="14">
        <f>IF(OR(A413="",D413=""),"",D413*IF(E413="",1,E413))</f>
        <v/>
      </c>
      <c r="G413" s="9" t="n"/>
      <c r="H413">
        <f>IF(A413="","",YEAR(A413))</f>
        <v/>
      </c>
    </row>
    <row r="414">
      <c r="A414" s="10" t="n"/>
      <c r="B414" s="9" t="n"/>
      <c r="C414" s="9" t="n"/>
      <c r="D414" s="14" t="n"/>
      <c r="E414" s="11" t="n"/>
      <c r="F414" s="14">
        <f>IF(OR(A414="",D414=""),"",D414*IF(E414="",1,E414))</f>
        <v/>
      </c>
      <c r="G414" s="9" t="n"/>
      <c r="H414">
        <f>IF(A414="","",YEAR(A414))</f>
        <v/>
      </c>
    </row>
    <row r="415">
      <c r="A415" s="10" t="n"/>
      <c r="B415" s="9" t="n"/>
      <c r="C415" s="9" t="n"/>
      <c r="D415" s="14" t="n"/>
      <c r="E415" s="11" t="n"/>
      <c r="F415" s="14">
        <f>IF(OR(A415="",D415=""),"",D415*IF(E415="",1,E415))</f>
        <v/>
      </c>
      <c r="G415" s="9" t="n"/>
      <c r="H415">
        <f>IF(A415="","",YEAR(A415))</f>
        <v/>
      </c>
    </row>
    <row r="416">
      <c r="A416" s="10" t="n"/>
      <c r="B416" s="9" t="n"/>
      <c r="C416" s="9" t="n"/>
      <c r="D416" s="14" t="n"/>
      <c r="E416" s="11" t="n"/>
      <c r="F416" s="14">
        <f>IF(OR(A416="",D416=""),"",D416*IF(E416="",1,E416))</f>
        <v/>
      </c>
      <c r="G416" s="9" t="n"/>
      <c r="H416">
        <f>IF(A416="","",YEAR(A416))</f>
        <v/>
      </c>
    </row>
    <row r="417">
      <c r="A417" s="10" t="n"/>
      <c r="B417" s="9" t="n"/>
      <c r="C417" s="9" t="n"/>
      <c r="D417" s="14" t="n"/>
      <c r="E417" s="11" t="n"/>
      <c r="F417" s="14">
        <f>IF(OR(A417="",D417=""),"",D417*IF(E417="",1,E417))</f>
        <v/>
      </c>
      <c r="G417" s="9" t="n"/>
      <c r="H417">
        <f>IF(A417="","",YEAR(A417))</f>
        <v/>
      </c>
    </row>
    <row r="418">
      <c r="A418" s="10" t="n"/>
      <c r="B418" s="9" t="n"/>
      <c r="C418" s="9" t="n"/>
      <c r="D418" s="14" t="n"/>
      <c r="E418" s="11" t="n"/>
      <c r="F418" s="14">
        <f>IF(OR(A418="",D418=""),"",D418*IF(E418="",1,E418))</f>
        <v/>
      </c>
      <c r="G418" s="9" t="n"/>
      <c r="H418">
        <f>IF(A418="","",YEAR(A418))</f>
        <v/>
      </c>
    </row>
    <row r="419">
      <c r="A419" s="10" t="n"/>
      <c r="B419" s="9" t="n"/>
      <c r="C419" s="9" t="n"/>
      <c r="D419" s="14" t="n"/>
      <c r="E419" s="11" t="n"/>
      <c r="F419" s="14">
        <f>IF(OR(A419="",D419=""),"",D419*IF(E419="",1,E419))</f>
        <v/>
      </c>
      <c r="G419" s="9" t="n"/>
      <c r="H419">
        <f>IF(A419="","",YEAR(A419))</f>
        <v/>
      </c>
    </row>
    <row r="420">
      <c r="A420" s="10" t="n"/>
      <c r="B420" s="9" t="n"/>
      <c r="C420" s="9" t="n"/>
      <c r="D420" s="14" t="n"/>
      <c r="E420" s="11" t="n"/>
      <c r="F420" s="14">
        <f>IF(OR(A420="",D420=""),"",D420*IF(E420="",1,E420))</f>
        <v/>
      </c>
      <c r="G420" s="9" t="n"/>
      <c r="H420">
        <f>IF(A420="","",YEAR(A420))</f>
        <v/>
      </c>
    </row>
    <row r="421">
      <c r="A421" s="10" t="n"/>
      <c r="B421" s="9" t="n"/>
      <c r="C421" s="9" t="n"/>
      <c r="D421" s="14" t="n"/>
      <c r="E421" s="11" t="n"/>
      <c r="F421" s="14">
        <f>IF(OR(A421="",D421=""),"",D421*IF(E421="",1,E421))</f>
        <v/>
      </c>
      <c r="G421" s="9" t="n"/>
      <c r="H421">
        <f>IF(A421="","",YEAR(A421))</f>
        <v/>
      </c>
    </row>
    <row r="422">
      <c r="A422" s="10" t="n"/>
      <c r="B422" s="9" t="n"/>
      <c r="C422" s="9" t="n"/>
      <c r="D422" s="14" t="n"/>
      <c r="E422" s="11" t="n"/>
      <c r="F422" s="14">
        <f>IF(OR(A422="",D422=""),"",D422*IF(E422="",1,E422))</f>
        <v/>
      </c>
      <c r="G422" s="9" t="n"/>
      <c r="H422">
        <f>IF(A422="","",YEAR(A422))</f>
        <v/>
      </c>
    </row>
    <row r="423">
      <c r="A423" s="10" t="n"/>
      <c r="B423" s="9" t="n"/>
      <c r="C423" s="9" t="n"/>
      <c r="D423" s="14" t="n"/>
      <c r="E423" s="11" t="n"/>
      <c r="F423" s="14">
        <f>IF(OR(A423="",D423=""),"",D423*IF(E423="",1,E423))</f>
        <v/>
      </c>
      <c r="G423" s="9" t="n"/>
      <c r="H423">
        <f>IF(A423="","",YEAR(A423))</f>
        <v/>
      </c>
    </row>
    <row r="424">
      <c r="A424" s="10" t="n"/>
      <c r="B424" s="9" t="n"/>
      <c r="C424" s="9" t="n"/>
      <c r="D424" s="14" t="n"/>
      <c r="E424" s="11" t="n"/>
      <c r="F424" s="14">
        <f>IF(OR(A424="",D424=""),"",D424*IF(E424="",1,E424))</f>
        <v/>
      </c>
      <c r="G424" s="9" t="n"/>
      <c r="H424">
        <f>IF(A424="","",YEAR(A424))</f>
        <v/>
      </c>
    </row>
    <row r="425">
      <c r="A425" s="10" t="n"/>
      <c r="B425" s="9" t="n"/>
      <c r="C425" s="9" t="n"/>
      <c r="D425" s="14" t="n"/>
      <c r="E425" s="11" t="n"/>
      <c r="F425" s="14">
        <f>IF(OR(A425="",D425=""),"",D425*IF(E425="",1,E425))</f>
        <v/>
      </c>
      <c r="G425" s="9" t="n"/>
      <c r="H425">
        <f>IF(A425="","",YEAR(A425))</f>
        <v/>
      </c>
    </row>
    <row r="426">
      <c r="A426" s="10" t="n"/>
      <c r="B426" s="9" t="n"/>
      <c r="C426" s="9" t="n"/>
      <c r="D426" s="14" t="n"/>
      <c r="E426" s="11" t="n"/>
      <c r="F426" s="14">
        <f>IF(OR(A426="",D426=""),"",D426*IF(E426="",1,E426))</f>
        <v/>
      </c>
      <c r="G426" s="9" t="n"/>
      <c r="H426">
        <f>IF(A426="","",YEAR(A426))</f>
        <v/>
      </c>
    </row>
    <row r="427">
      <c r="A427" s="10" t="n"/>
      <c r="B427" s="9" t="n"/>
      <c r="C427" s="9" t="n"/>
      <c r="D427" s="14" t="n"/>
      <c r="E427" s="11" t="n"/>
      <c r="F427" s="14">
        <f>IF(OR(A427="",D427=""),"",D427*IF(E427="",1,E427))</f>
        <v/>
      </c>
      <c r="G427" s="9" t="n"/>
      <c r="H427">
        <f>IF(A427="","",YEAR(A427))</f>
        <v/>
      </c>
    </row>
    <row r="428">
      <c r="A428" s="10" t="n"/>
      <c r="B428" s="9" t="n"/>
      <c r="C428" s="9" t="n"/>
      <c r="D428" s="14" t="n"/>
      <c r="E428" s="11" t="n"/>
      <c r="F428" s="14">
        <f>IF(OR(A428="",D428=""),"",D428*IF(E428="",1,E428))</f>
        <v/>
      </c>
      <c r="G428" s="9" t="n"/>
      <c r="H428">
        <f>IF(A428="","",YEAR(A428))</f>
        <v/>
      </c>
    </row>
    <row r="429">
      <c r="A429" s="10" t="n"/>
      <c r="B429" s="9" t="n"/>
      <c r="C429" s="9" t="n"/>
      <c r="D429" s="14" t="n"/>
      <c r="E429" s="11" t="n"/>
      <c r="F429" s="14">
        <f>IF(OR(A429="",D429=""),"",D429*IF(E429="",1,E429))</f>
        <v/>
      </c>
      <c r="G429" s="9" t="n"/>
      <c r="H429">
        <f>IF(A429="","",YEAR(A429))</f>
        <v/>
      </c>
    </row>
    <row r="430">
      <c r="A430" s="10" t="n"/>
      <c r="B430" s="9" t="n"/>
      <c r="C430" s="9" t="n"/>
      <c r="D430" s="14" t="n"/>
      <c r="E430" s="11" t="n"/>
      <c r="F430" s="14">
        <f>IF(OR(A430="",D430=""),"",D430*IF(E430="",1,E430))</f>
        <v/>
      </c>
      <c r="G430" s="9" t="n"/>
      <c r="H430">
        <f>IF(A430="","",YEAR(A430))</f>
        <v/>
      </c>
    </row>
    <row r="431">
      <c r="A431" s="10" t="n"/>
      <c r="B431" s="9" t="n"/>
      <c r="C431" s="9" t="n"/>
      <c r="D431" s="14" t="n"/>
      <c r="E431" s="11" t="n"/>
      <c r="F431" s="14">
        <f>IF(OR(A431="",D431=""),"",D431*IF(E431="",1,E431))</f>
        <v/>
      </c>
      <c r="G431" s="9" t="n"/>
      <c r="H431">
        <f>IF(A431="","",YEAR(A431))</f>
        <v/>
      </c>
    </row>
    <row r="432">
      <c r="A432" s="10" t="n"/>
      <c r="B432" s="9" t="n"/>
      <c r="C432" s="9" t="n"/>
      <c r="D432" s="14" t="n"/>
      <c r="E432" s="11" t="n"/>
      <c r="F432" s="14">
        <f>IF(OR(A432="",D432=""),"",D432*IF(E432="",1,E432))</f>
        <v/>
      </c>
      <c r="G432" s="9" t="n"/>
      <c r="H432">
        <f>IF(A432="","",YEAR(A432))</f>
        <v/>
      </c>
    </row>
    <row r="433">
      <c r="A433" s="10" t="n"/>
      <c r="B433" s="9" t="n"/>
      <c r="C433" s="9" t="n"/>
      <c r="D433" s="14" t="n"/>
      <c r="E433" s="11" t="n"/>
      <c r="F433" s="14">
        <f>IF(OR(A433="",D433=""),"",D433*IF(E433="",1,E433))</f>
        <v/>
      </c>
      <c r="G433" s="9" t="n"/>
      <c r="H433">
        <f>IF(A433="","",YEAR(A433))</f>
        <v/>
      </c>
    </row>
    <row r="434">
      <c r="A434" s="10" t="n"/>
      <c r="B434" s="9" t="n"/>
      <c r="C434" s="9" t="n"/>
      <c r="D434" s="14" t="n"/>
      <c r="E434" s="11" t="n"/>
      <c r="F434" s="14">
        <f>IF(OR(A434="",D434=""),"",D434*IF(E434="",1,E434))</f>
        <v/>
      </c>
      <c r="G434" s="9" t="n"/>
      <c r="H434">
        <f>IF(A434="","",YEAR(A434))</f>
        <v/>
      </c>
    </row>
    <row r="435">
      <c r="A435" s="10" t="n"/>
      <c r="B435" s="9" t="n"/>
      <c r="C435" s="9" t="n"/>
      <c r="D435" s="14" t="n"/>
      <c r="E435" s="11" t="n"/>
      <c r="F435" s="14">
        <f>IF(OR(A435="",D435=""),"",D435*IF(E435="",1,E435))</f>
        <v/>
      </c>
      <c r="G435" s="9" t="n"/>
      <c r="H435">
        <f>IF(A435="","",YEAR(A435))</f>
        <v/>
      </c>
    </row>
    <row r="436">
      <c r="A436" s="10" t="n"/>
      <c r="B436" s="9" t="n"/>
      <c r="C436" s="9" t="n"/>
      <c r="D436" s="14" t="n"/>
      <c r="E436" s="11" t="n"/>
      <c r="F436" s="14">
        <f>IF(OR(A436="",D436=""),"",D436*IF(E436="",1,E436))</f>
        <v/>
      </c>
      <c r="G436" s="9" t="n"/>
      <c r="H436">
        <f>IF(A436="","",YEAR(A436))</f>
        <v/>
      </c>
    </row>
    <row r="437">
      <c r="A437" s="10" t="n"/>
      <c r="B437" s="9" t="n"/>
      <c r="C437" s="9" t="n"/>
      <c r="D437" s="14" t="n"/>
      <c r="E437" s="11" t="n"/>
      <c r="F437" s="14">
        <f>IF(OR(A437="",D437=""),"",D437*IF(E437="",1,E437))</f>
        <v/>
      </c>
      <c r="G437" s="9" t="n"/>
      <c r="H437">
        <f>IF(A437="","",YEAR(A437))</f>
        <v/>
      </c>
    </row>
    <row r="438">
      <c r="A438" s="10" t="n"/>
      <c r="B438" s="9" t="n"/>
      <c r="C438" s="9" t="n"/>
      <c r="D438" s="14" t="n"/>
      <c r="E438" s="11" t="n"/>
      <c r="F438" s="14">
        <f>IF(OR(A438="",D438=""),"",D438*IF(E438="",1,E438))</f>
        <v/>
      </c>
      <c r="G438" s="9" t="n"/>
      <c r="H438">
        <f>IF(A438="","",YEAR(A438))</f>
        <v/>
      </c>
    </row>
    <row r="439">
      <c r="A439" s="10" t="n"/>
      <c r="B439" s="9" t="n"/>
      <c r="C439" s="9" t="n"/>
      <c r="D439" s="14" t="n"/>
      <c r="E439" s="11" t="n"/>
      <c r="F439" s="14">
        <f>IF(OR(A439="",D439=""),"",D439*IF(E439="",1,E439))</f>
        <v/>
      </c>
      <c r="G439" s="9" t="n"/>
      <c r="H439">
        <f>IF(A439="","",YEAR(A439))</f>
        <v/>
      </c>
    </row>
    <row r="440">
      <c r="A440" s="10" t="n"/>
      <c r="B440" s="9" t="n"/>
      <c r="C440" s="9" t="n"/>
      <c r="D440" s="14" t="n"/>
      <c r="E440" s="11" t="n"/>
      <c r="F440" s="14">
        <f>IF(OR(A440="",D440=""),"",D440*IF(E440="",1,E440))</f>
        <v/>
      </c>
      <c r="G440" s="9" t="n"/>
      <c r="H440">
        <f>IF(A440="","",YEAR(A440))</f>
        <v/>
      </c>
    </row>
    <row r="441">
      <c r="A441" s="10" t="n"/>
      <c r="B441" s="9" t="n"/>
      <c r="C441" s="9" t="n"/>
      <c r="D441" s="14" t="n"/>
      <c r="E441" s="11" t="n"/>
      <c r="F441" s="14">
        <f>IF(OR(A441="",D441=""),"",D441*IF(E441="",1,E441))</f>
        <v/>
      </c>
      <c r="G441" s="9" t="n"/>
      <c r="H441">
        <f>IF(A441="","",YEAR(A441))</f>
        <v/>
      </c>
    </row>
    <row r="442">
      <c r="A442" s="10" t="n"/>
      <c r="B442" s="9" t="n"/>
      <c r="C442" s="9" t="n"/>
      <c r="D442" s="14" t="n"/>
      <c r="E442" s="11" t="n"/>
      <c r="F442" s="14">
        <f>IF(OR(A442="",D442=""),"",D442*IF(E442="",1,E442))</f>
        <v/>
      </c>
      <c r="G442" s="9" t="n"/>
      <c r="H442">
        <f>IF(A442="","",YEAR(A442))</f>
        <v/>
      </c>
    </row>
    <row r="443">
      <c r="A443" s="10" t="n"/>
      <c r="B443" s="9" t="n"/>
      <c r="C443" s="9" t="n"/>
      <c r="D443" s="14" t="n"/>
      <c r="E443" s="11" t="n"/>
      <c r="F443" s="14">
        <f>IF(OR(A443="",D443=""),"",D443*IF(E443="",1,E443))</f>
        <v/>
      </c>
      <c r="G443" s="9" t="n"/>
      <c r="H443">
        <f>IF(A443="","",YEAR(A443))</f>
        <v/>
      </c>
    </row>
    <row r="444">
      <c r="A444" s="10" t="n"/>
      <c r="B444" s="9" t="n"/>
      <c r="C444" s="9" t="n"/>
      <c r="D444" s="14" t="n"/>
      <c r="E444" s="11" t="n"/>
      <c r="F444" s="14">
        <f>IF(OR(A444="",D444=""),"",D444*IF(E444="",1,E444))</f>
        <v/>
      </c>
      <c r="G444" s="9" t="n"/>
      <c r="H444">
        <f>IF(A444="","",YEAR(A444))</f>
        <v/>
      </c>
    </row>
    <row r="445">
      <c r="A445" s="10" t="n"/>
      <c r="B445" s="9" t="n"/>
      <c r="C445" s="9" t="n"/>
      <c r="D445" s="14" t="n"/>
      <c r="E445" s="11" t="n"/>
      <c r="F445" s="14">
        <f>IF(OR(A445="",D445=""),"",D445*IF(E445="",1,E445))</f>
        <v/>
      </c>
      <c r="G445" s="9" t="n"/>
      <c r="H445">
        <f>IF(A445="","",YEAR(A445))</f>
        <v/>
      </c>
    </row>
    <row r="446">
      <c r="A446" s="10" t="n"/>
      <c r="B446" s="9" t="n"/>
      <c r="C446" s="9" t="n"/>
      <c r="D446" s="14" t="n"/>
      <c r="E446" s="11" t="n"/>
      <c r="F446" s="14">
        <f>IF(OR(A446="",D446=""),"",D446*IF(E446="",1,E446))</f>
        <v/>
      </c>
      <c r="G446" s="9" t="n"/>
      <c r="H446">
        <f>IF(A446="","",YEAR(A446))</f>
        <v/>
      </c>
    </row>
    <row r="447">
      <c r="A447" s="10" t="n"/>
      <c r="B447" s="9" t="n"/>
      <c r="C447" s="9" t="n"/>
      <c r="D447" s="14" t="n"/>
      <c r="E447" s="11" t="n"/>
      <c r="F447" s="14">
        <f>IF(OR(A447="",D447=""),"",D447*IF(E447="",1,E447))</f>
        <v/>
      </c>
      <c r="G447" s="9" t="n"/>
      <c r="H447">
        <f>IF(A447="","",YEAR(A447))</f>
        <v/>
      </c>
    </row>
    <row r="448">
      <c r="A448" s="10" t="n"/>
      <c r="B448" s="9" t="n"/>
      <c r="C448" s="9" t="n"/>
      <c r="D448" s="14" t="n"/>
      <c r="E448" s="11" t="n"/>
      <c r="F448" s="14">
        <f>IF(OR(A448="",D448=""),"",D448*IF(E448="",1,E448))</f>
        <v/>
      </c>
      <c r="G448" s="9" t="n"/>
      <c r="H448">
        <f>IF(A448="","",YEAR(A448))</f>
        <v/>
      </c>
    </row>
    <row r="449">
      <c r="A449" s="10" t="n"/>
      <c r="B449" s="9" t="n"/>
      <c r="C449" s="9" t="n"/>
      <c r="D449" s="14" t="n"/>
      <c r="E449" s="11" t="n"/>
      <c r="F449" s="14">
        <f>IF(OR(A449="",D449=""),"",D449*IF(E449="",1,E449))</f>
        <v/>
      </c>
      <c r="G449" s="9" t="n"/>
      <c r="H449">
        <f>IF(A449="","",YEAR(A449))</f>
        <v/>
      </c>
    </row>
    <row r="450">
      <c r="A450" s="10" t="n"/>
      <c r="B450" s="9" t="n"/>
      <c r="C450" s="9" t="n"/>
      <c r="D450" s="14" t="n"/>
      <c r="E450" s="11" t="n"/>
      <c r="F450" s="14">
        <f>IF(OR(A450="",D450=""),"",D450*IF(E450="",1,E450))</f>
        <v/>
      </c>
      <c r="G450" s="9" t="n"/>
      <c r="H450">
        <f>IF(A450="","",YEAR(A450))</f>
        <v/>
      </c>
    </row>
    <row r="451">
      <c r="A451" s="10" t="n"/>
      <c r="B451" s="9" t="n"/>
      <c r="C451" s="9" t="n"/>
      <c r="D451" s="14" t="n"/>
      <c r="E451" s="11" t="n"/>
      <c r="F451" s="14">
        <f>IF(OR(A451="",D451=""),"",D451*IF(E451="",1,E451))</f>
        <v/>
      </c>
      <c r="G451" s="9" t="n"/>
      <c r="H451">
        <f>IF(A451="","",YEAR(A451))</f>
        <v/>
      </c>
    </row>
    <row r="452">
      <c r="A452" s="10" t="n"/>
      <c r="B452" s="9" t="n"/>
      <c r="C452" s="9" t="n"/>
      <c r="D452" s="14" t="n"/>
      <c r="E452" s="11" t="n"/>
      <c r="F452" s="14">
        <f>IF(OR(A452="",D452=""),"",D452*IF(E452="",1,E452))</f>
        <v/>
      </c>
      <c r="G452" s="9" t="n"/>
      <c r="H452">
        <f>IF(A452="","",YEAR(A452))</f>
        <v/>
      </c>
    </row>
    <row r="453">
      <c r="A453" s="10" t="n"/>
      <c r="B453" s="9" t="n"/>
      <c r="C453" s="9" t="n"/>
      <c r="D453" s="14" t="n"/>
      <c r="E453" s="11" t="n"/>
      <c r="F453" s="14">
        <f>IF(OR(A453="",D453=""),"",D453*IF(E453="",1,E453))</f>
        <v/>
      </c>
      <c r="G453" s="9" t="n"/>
      <c r="H453">
        <f>IF(A453="","",YEAR(A453))</f>
        <v/>
      </c>
    </row>
    <row r="454">
      <c r="A454" s="10" t="n"/>
      <c r="B454" s="9" t="n"/>
      <c r="C454" s="9" t="n"/>
      <c r="D454" s="14" t="n"/>
      <c r="E454" s="11" t="n"/>
      <c r="F454" s="14">
        <f>IF(OR(A454="",D454=""),"",D454*IF(E454="",1,E454))</f>
        <v/>
      </c>
      <c r="G454" s="9" t="n"/>
      <c r="H454">
        <f>IF(A454="","",YEAR(A454))</f>
        <v/>
      </c>
    </row>
    <row r="455">
      <c r="A455" s="10" t="n"/>
      <c r="B455" s="9" t="n"/>
      <c r="C455" s="9" t="n"/>
      <c r="D455" s="14" t="n"/>
      <c r="E455" s="11" t="n"/>
      <c r="F455" s="14">
        <f>IF(OR(A455="",D455=""),"",D455*IF(E455="",1,E455))</f>
        <v/>
      </c>
      <c r="G455" s="9" t="n"/>
      <c r="H455">
        <f>IF(A455="","",YEAR(A455))</f>
        <v/>
      </c>
    </row>
    <row r="456">
      <c r="A456" s="10" t="n"/>
      <c r="B456" s="9" t="n"/>
      <c r="C456" s="9" t="n"/>
      <c r="D456" s="14" t="n"/>
      <c r="E456" s="11" t="n"/>
      <c r="F456" s="14">
        <f>IF(OR(A456="",D456=""),"",D456*IF(E456="",1,E456))</f>
        <v/>
      </c>
      <c r="G456" s="9" t="n"/>
      <c r="H456">
        <f>IF(A456="","",YEAR(A456))</f>
        <v/>
      </c>
    </row>
    <row r="457">
      <c r="A457" s="10" t="n"/>
      <c r="B457" s="9" t="n"/>
      <c r="C457" s="9" t="n"/>
      <c r="D457" s="14" t="n"/>
      <c r="E457" s="11" t="n"/>
      <c r="F457" s="14">
        <f>IF(OR(A457="",D457=""),"",D457*IF(E457="",1,E457))</f>
        <v/>
      </c>
      <c r="G457" s="9" t="n"/>
      <c r="H457">
        <f>IF(A457="","",YEAR(A457))</f>
        <v/>
      </c>
    </row>
    <row r="458">
      <c r="A458" s="10" t="n"/>
      <c r="B458" s="9" t="n"/>
      <c r="C458" s="9" t="n"/>
      <c r="D458" s="14" t="n"/>
      <c r="E458" s="11" t="n"/>
      <c r="F458" s="14">
        <f>IF(OR(A458="",D458=""),"",D458*IF(E458="",1,E458))</f>
        <v/>
      </c>
      <c r="G458" s="9" t="n"/>
      <c r="H458">
        <f>IF(A458="","",YEAR(A458))</f>
        <v/>
      </c>
    </row>
    <row r="459">
      <c r="A459" s="10" t="n"/>
      <c r="B459" s="9" t="n"/>
      <c r="C459" s="9" t="n"/>
      <c r="D459" s="14" t="n"/>
      <c r="E459" s="11" t="n"/>
      <c r="F459" s="14">
        <f>IF(OR(A459="",D459=""),"",D459*IF(E459="",1,E459))</f>
        <v/>
      </c>
      <c r="G459" s="9" t="n"/>
      <c r="H459">
        <f>IF(A459="","",YEAR(A459))</f>
        <v/>
      </c>
    </row>
    <row r="460">
      <c r="A460" s="10" t="n"/>
      <c r="B460" s="9" t="n"/>
      <c r="C460" s="9" t="n"/>
      <c r="D460" s="14" t="n"/>
      <c r="E460" s="11" t="n"/>
      <c r="F460" s="14">
        <f>IF(OR(A460="",D460=""),"",D460*IF(E460="",1,E460))</f>
        <v/>
      </c>
      <c r="G460" s="9" t="n"/>
      <c r="H460">
        <f>IF(A460="","",YEAR(A460))</f>
        <v/>
      </c>
    </row>
    <row r="461">
      <c r="A461" s="10" t="n"/>
      <c r="B461" s="9" t="n"/>
      <c r="C461" s="9" t="n"/>
      <c r="D461" s="14" t="n"/>
      <c r="E461" s="11" t="n"/>
      <c r="F461" s="14">
        <f>IF(OR(A461="",D461=""),"",D461*IF(E461="",1,E461))</f>
        <v/>
      </c>
      <c r="G461" s="9" t="n"/>
      <c r="H461">
        <f>IF(A461="","",YEAR(A461))</f>
        <v/>
      </c>
    </row>
    <row r="462">
      <c r="A462" s="10" t="n"/>
      <c r="B462" s="9" t="n"/>
      <c r="C462" s="9" t="n"/>
      <c r="D462" s="14" t="n"/>
      <c r="E462" s="11" t="n"/>
      <c r="F462" s="14">
        <f>IF(OR(A462="",D462=""),"",D462*IF(E462="",1,E462))</f>
        <v/>
      </c>
      <c r="G462" s="9" t="n"/>
      <c r="H462">
        <f>IF(A462="","",YEAR(A462))</f>
        <v/>
      </c>
    </row>
    <row r="463">
      <c r="A463" s="10" t="n"/>
      <c r="B463" s="9" t="n"/>
      <c r="C463" s="9" t="n"/>
      <c r="D463" s="14" t="n"/>
      <c r="E463" s="11" t="n"/>
      <c r="F463" s="14">
        <f>IF(OR(A463="",D463=""),"",D463*IF(E463="",1,E463))</f>
        <v/>
      </c>
      <c r="G463" s="9" t="n"/>
      <c r="H463">
        <f>IF(A463="","",YEAR(A463))</f>
        <v/>
      </c>
    </row>
    <row r="464">
      <c r="A464" s="10" t="n"/>
      <c r="B464" s="9" t="n"/>
      <c r="C464" s="9" t="n"/>
      <c r="D464" s="14" t="n"/>
      <c r="E464" s="11" t="n"/>
      <c r="F464" s="14">
        <f>IF(OR(A464="",D464=""),"",D464*IF(E464="",1,E464))</f>
        <v/>
      </c>
      <c r="G464" s="9" t="n"/>
      <c r="H464">
        <f>IF(A464="","",YEAR(A464))</f>
        <v/>
      </c>
    </row>
    <row r="465">
      <c r="A465" s="10" t="n"/>
      <c r="B465" s="9" t="n"/>
      <c r="C465" s="9" t="n"/>
      <c r="D465" s="14" t="n"/>
      <c r="E465" s="11" t="n"/>
      <c r="F465" s="14">
        <f>IF(OR(A465="",D465=""),"",D465*IF(E465="",1,E465))</f>
        <v/>
      </c>
      <c r="G465" s="9" t="n"/>
      <c r="H465">
        <f>IF(A465="","",YEAR(A465))</f>
        <v/>
      </c>
    </row>
    <row r="466">
      <c r="A466" s="10" t="n"/>
      <c r="B466" s="9" t="n"/>
      <c r="C466" s="9" t="n"/>
      <c r="D466" s="14" t="n"/>
      <c r="E466" s="11" t="n"/>
      <c r="F466" s="14">
        <f>IF(OR(A466="",D466=""),"",D466*IF(E466="",1,E466))</f>
        <v/>
      </c>
      <c r="G466" s="9" t="n"/>
      <c r="H466">
        <f>IF(A466="","",YEAR(A466))</f>
        <v/>
      </c>
    </row>
    <row r="467">
      <c r="A467" s="10" t="n"/>
      <c r="B467" s="9" t="n"/>
      <c r="C467" s="9" t="n"/>
      <c r="D467" s="14" t="n"/>
      <c r="E467" s="11" t="n"/>
      <c r="F467" s="14">
        <f>IF(OR(A467="",D467=""),"",D467*IF(E467="",1,E467))</f>
        <v/>
      </c>
      <c r="G467" s="9" t="n"/>
      <c r="H467">
        <f>IF(A467="","",YEAR(A467))</f>
        <v/>
      </c>
    </row>
    <row r="468">
      <c r="A468" s="10" t="n"/>
      <c r="B468" s="9" t="n"/>
      <c r="C468" s="9" t="n"/>
      <c r="D468" s="14" t="n"/>
      <c r="E468" s="11" t="n"/>
      <c r="F468" s="14">
        <f>IF(OR(A468="",D468=""),"",D468*IF(E468="",1,E468))</f>
        <v/>
      </c>
      <c r="G468" s="9" t="n"/>
      <c r="H468">
        <f>IF(A468="","",YEAR(A468))</f>
        <v/>
      </c>
    </row>
    <row r="469">
      <c r="A469" s="10" t="n"/>
      <c r="B469" s="9" t="n"/>
      <c r="C469" s="9" t="n"/>
      <c r="D469" s="14" t="n"/>
      <c r="E469" s="11" t="n"/>
      <c r="F469" s="14">
        <f>IF(OR(A469="",D469=""),"",D469*IF(E469="",1,E469))</f>
        <v/>
      </c>
      <c r="G469" s="9" t="n"/>
      <c r="H469">
        <f>IF(A469="","",YEAR(A469))</f>
        <v/>
      </c>
    </row>
    <row r="470">
      <c r="A470" s="10" t="n"/>
      <c r="B470" s="9" t="n"/>
      <c r="C470" s="9" t="n"/>
      <c r="D470" s="14" t="n"/>
      <c r="E470" s="11" t="n"/>
      <c r="F470" s="14">
        <f>IF(OR(A470="",D470=""),"",D470*IF(E470="",1,E470))</f>
        <v/>
      </c>
      <c r="G470" s="9" t="n"/>
      <c r="H470">
        <f>IF(A470="","",YEAR(A470))</f>
        <v/>
      </c>
    </row>
    <row r="471">
      <c r="A471" s="10" t="n"/>
      <c r="B471" s="9" t="n"/>
      <c r="C471" s="9" t="n"/>
      <c r="D471" s="14" t="n"/>
      <c r="E471" s="11" t="n"/>
      <c r="F471" s="14">
        <f>IF(OR(A471="",D471=""),"",D471*IF(E471="",1,E471))</f>
        <v/>
      </c>
      <c r="G471" s="9" t="n"/>
      <c r="H471">
        <f>IF(A471="","",YEAR(A471))</f>
        <v/>
      </c>
    </row>
    <row r="472">
      <c r="A472" s="10" t="n"/>
      <c r="B472" s="9" t="n"/>
      <c r="C472" s="9" t="n"/>
      <c r="D472" s="14" t="n"/>
      <c r="E472" s="11" t="n"/>
      <c r="F472" s="14">
        <f>IF(OR(A472="",D472=""),"",D472*IF(E472="",1,E472))</f>
        <v/>
      </c>
      <c r="G472" s="9" t="n"/>
      <c r="H472">
        <f>IF(A472="","",YEAR(A472))</f>
        <v/>
      </c>
    </row>
    <row r="473">
      <c r="A473" s="10" t="n"/>
      <c r="B473" s="9" t="n"/>
      <c r="C473" s="9" t="n"/>
      <c r="D473" s="14" t="n"/>
      <c r="E473" s="11" t="n"/>
      <c r="F473" s="14">
        <f>IF(OR(A473="",D473=""),"",D473*IF(E473="",1,E473))</f>
        <v/>
      </c>
      <c r="G473" s="9" t="n"/>
      <c r="H473">
        <f>IF(A473="","",YEAR(A473))</f>
        <v/>
      </c>
    </row>
    <row r="474">
      <c r="A474" s="10" t="n"/>
      <c r="B474" s="9" t="n"/>
      <c r="C474" s="9" t="n"/>
      <c r="D474" s="14" t="n"/>
      <c r="E474" s="11" t="n"/>
      <c r="F474" s="14">
        <f>IF(OR(A474="",D474=""),"",D474*IF(E474="",1,E474))</f>
        <v/>
      </c>
      <c r="G474" s="9" t="n"/>
      <c r="H474">
        <f>IF(A474="","",YEAR(A474))</f>
        <v/>
      </c>
    </row>
    <row r="475">
      <c r="A475" s="10" t="n"/>
      <c r="B475" s="9" t="n"/>
      <c r="C475" s="9" t="n"/>
      <c r="D475" s="14" t="n"/>
      <c r="E475" s="11" t="n"/>
      <c r="F475" s="14">
        <f>IF(OR(A475="",D475=""),"",D475*IF(E475="",1,E475))</f>
        <v/>
      </c>
      <c r="G475" s="9" t="n"/>
      <c r="H475">
        <f>IF(A475="","",YEAR(A475))</f>
        <v/>
      </c>
    </row>
    <row r="476">
      <c r="A476" s="10" t="n"/>
      <c r="B476" s="9" t="n"/>
      <c r="C476" s="9" t="n"/>
      <c r="D476" s="14" t="n"/>
      <c r="E476" s="11" t="n"/>
      <c r="F476" s="14">
        <f>IF(OR(A476="",D476=""),"",D476*IF(E476="",1,E476))</f>
        <v/>
      </c>
      <c r="G476" s="9" t="n"/>
      <c r="H476">
        <f>IF(A476="","",YEAR(A476))</f>
        <v/>
      </c>
    </row>
    <row r="477">
      <c r="A477" s="10" t="n"/>
      <c r="B477" s="9" t="n"/>
      <c r="C477" s="9" t="n"/>
      <c r="D477" s="14" t="n"/>
      <c r="E477" s="11" t="n"/>
      <c r="F477" s="14">
        <f>IF(OR(A477="",D477=""),"",D477*IF(E477="",1,E477))</f>
        <v/>
      </c>
      <c r="G477" s="9" t="n"/>
      <c r="H477">
        <f>IF(A477="","",YEAR(A477))</f>
        <v/>
      </c>
    </row>
    <row r="478">
      <c r="A478" s="10" t="n"/>
      <c r="B478" s="9" t="n"/>
      <c r="C478" s="9" t="n"/>
      <c r="D478" s="14" t="n"/>
      <c r="E478" s="11" t="n"/>
      <c r="F478" s="14">
        <f>IF(OR(A478="",D478=""),"",D478*IF(E478="",1,E478))</f>
        <v/>
      </c>
      <c r="G478" s="9" t="n"/>
      <c r="H478">
        <f>IF(A478="","",YEAR(A478))</f>
        <v/>
      </c>
    </row>
    <row r="479">
      <c r="A479" s="10" t="n"/>
      <c r="B479" s="9" t="n"/>
      <c r="C479" s="9" t="n"/>
      <c r="D479" s="14" t="n"/>
      <c r="E479" s="11" t="n"/>
      <c r="F479" s="14">
        <f>IF(OR(A479="",D479=""),"",D479*IF(E479="",1,E479))</f>
        <v/>
      </c>
      <c r="G479" s="9" t="n"/>
      <c r="H479">
        <f>IF(A479="","",YEAR(A479))</f>
        <v/>
      </c>
    </row>
    <row r="480">
      <c r="A480" s="10" t="n"/>
      <c r="B480" s="9" t="n"/>
      <c r="C480" s="9" t="n"/>
      <c r="D480" s="14" t="n"/>
      <c r="E480" s="11" t="n"/>
      <c r="F480" s="14">
        <f>IF(OR(A480="",D480=""),"",D480*IF(E480="",1,E480))</f>
        <v/>
      </c>
      <c r="G480" s="9" t="n"/>
      <c r="H480">
        <f>IF(A480="","",YEAR(A480))</f>
        <v/>
      </c>
    </row>
    <row r="481">
      <c r="A481" s="10" t="n"/>
      <c r="B481" s="9" t="n"/>
      <c r="C481" s="9" t="n"/>
      <c r="D481" s="14" t="n"/>
      <c r="E481" s="11" t="n"/>
      <c r="F481" s="14">
        <f>IF(OR(A481="",D481=""),"",D481*IF(E481="",1,E481))</f>
        <v/>
      </c>
      <c r="G481" s="9" t="n"/>
      <c r="H481">
        <f>IF(A481="","",YEAR(A481))</f>
        <v/>
      </c>
    </row>
    <row r="482">
      <c r="A482" s="10" t="n"/>
      <c r="B482" s="9" t="n"/>
      <c r="C482" s="9" t="n"/>
      <c r="D482" s="14" t="n"/>
      <c r="E482" s="11" t="n"/>
      <c r="F482" s="14">
        <f>IF(OR(A482="",D482=""),"",D482*IF(E482="",1,E482))</f>
        <v/>
      </c>
      <c r="G482" s="9" t="n"/>
      <c r="H482">
        <f>IF(A482="","",YEAR(A482))</f>
        <v/>
      </c>
    </row>
    <row r="483">
      <c r="A483" s="10" t="n"/>
      <c r="B483" s="9" t="n"/>
      <c r="C483" s="9" t="n"/>
      <c r="D483" s="14" t="n"/>
      <c r="E483" s="11" t="n"/>
      <c r="F483" s="14">
        <f>IF(OR(A483="",D483=""),"",D483*IF(E483="",1,E483))</f>
        <v/>
      </c>
      <c r="G483" s="9" t="n"/>
      <c r="H483">
        <f>IF(A483="","",YEAR(A483))</f>
        <v/>
      </c>
    </row>
    <row r="484">
      <c r="A484" s="10" t="n"/>
      <c r="B484" s="9" t="n"/>
      <c r="C484" s="9" t="n"/>
      <c r="D484" s="14" t="n"/>
      <c r="E484" s="11" t="n"/>
      <c r="F484" s="14">
        <f>IF(OR(A484="",D484=""),"",D484*IF(E484="",1,E484))</f>
        <v/>
      </c>
      <c r="G484" s="9" t="n"/>
      <c r="H484">
        <f>IF(A484="","",YEAR(A484))</f>
        <v/>
      </c>
    </row>
    <row r="485">
      <c r="A485" s="10" t="n"/>
      <c r="B485" s="9" t="n"/>
      <c r="C485" s="9" t="n"/>
      <c r="D485" s="14" t="n"/>
      <c r="E485" s="11" t="n"/>
      <c r="F485" s="14">
        <f>IF(OR(A485="",D485=""),"",D485*IF(E485="",1,E485))</f>
        <v/>
      </c>
      <c r="G485" s="9" t="n"/>
      <c r="H485">
        <f>IF(A485="","",YEAR(A485))</f>
        <v/>
      </c>
    </row>
    <row r="486">
      <c r="A486" s="10" t="n"/>
      <c r="B486" s="9" t="n"/>
      <c r="C486" s="9" t="n"/>
      <c r="D486" s="14" t="n"/>
      <c r="E486" s="11" t="n"/>
      <c r="F486" s="14">
        <f>IF(OR(A486="",D486=""),"",D486*IF(E486="",1,E486))</f>
        <v/>
      </c>
      <c r="G486" s="9" t="n"/>
      <c r="H486">
        <f>IF(A486="","",YEAR(A486))</f>
        <v/>
      </c>
    </row>
    <row r="487">
      <c r="A487" s="10" t="n"/>
      <c r="B487" s="9" t="n"/>
      <c r="C487" s="9" t="n"/>
      <c r="D487" s="14" t="n"/>
      <c r="E487" s="11" t="n"/>
      <c r="F487" s="14">
        <f>IF(OR(A487="",D487=""),"",D487*IF(E487="",1,E487))</f>
        <v/>
      </c>
      <c r="G487" s="9" t="n"/>
      <c r="H487">
        <f>IF(A487="","",YEAR(A487))</f>
        <v/>
      </c>
    </row>
    <row r="488">
      <c r="A488" s="10" t="n"/>
      <c r="B488" s="9" t="n"/>
      <c r="C488" s="9" t="n"/>
      <c r="D488" s="14" t="n"/>
      <c r="E488" s="11" t="n"/>
      <c r="F488" s="14">
        <f>IF(OR(A488="",D488=""),"",D488*IF(E488="",1,E488))</f>
        <v/>
      </c>
      <c r="G488" s="9" t="n"/>
      <c r="H488">
        <f>IF(A488="","",YEAR(A488))</f>
        <v/>
      </c>
    </row>
    <row r="489">
      <c r="A489" s="10" t="n"/>
      <c r="B489" s="9" t="n"/>
      <c r="C489" s="9" t="n"/>
      <c r="D489" s="14" t="n"/>
      <c r="E489" s="11" t="n"/>
      <c r="F489" s="14">
        <f>IF(OR(A489="",D489=""),"",D489*IF(E489="",1,E489))</f>
        <v/>
      </c>
      <c r="G489" s="9" t="n"/>
      <c r="H489">
        <f>IF(A489="","",YEAR(A489))</f>
        <v/>
      </c>
    </row>
    <row r="490">
      <c r="A490" s="10" t="n"/>
      <c r="B490" s="9" t="n"/>
      <c r="C490" s="9" t="n"/>
      <c r="D490" s="14" t="n"/>
      <c r="E490" s="11" t="n"/>
      <c r="F490" s="14">
        <f>IF(OR(A490="",D490=""),"",D490*IF(E490="",1,E490))</f>
        <v/>
      </c>
      <c r="G490" s="9" t="n"/>
      <c r="H490">
        <f>IF(A490="","",YEAR(A490))</f>
        <v/>
      </c>
    </row>
    <row r="491">
      <c r="A491" s="10" t="n"/>
      <c r="B491" s="9" t="n"/>
      <c r="C491" s="9" t="n"/>
      <c r="D491" s="14" t="n"/>
      <c r="E491" s="11" t="n"/>
      <c r="F491" s="14">
        <f>IF(OR(A491="",D491=""),"",D491*IF(E491="",1,E491))</f>
        <v/>
      </c>
      <c r="G491" s="9" t="n"/>
      <c r="H491">
        <f>IF(A491="","",YEAR(A491))</f>
        <v/>
      </c>
    </row>
    <row r="492">
      <c r="A492" s="10" t="n"/>
      <c r="B492" s="9" t="n"/>
      <c r="C492" s="9" t="n"/>
      <c r="D492" s="14" t="n"/>
      <c r="E492" s="11" t="n"/>
      <c r="F492" s="14">
        <f>IF(OR(A492="",D492=""),"",D492*IF(E492="",1,E492))</f>
        <v/>
      </c>
      <c r="G492" s="9" t="n"/>
      <c r="H492">
        <f>IF(A492="","",YEAR(A492))</f>
        <v/>
      </c>
    </row>
    <row r="493">
      <c r="A493" s="10" t="n"/>
      <c r="B493" s="9" t="n"/>
      <c r="C493" s="9" t="n"/>
      <c r="D493" s="14" t="n"/>
      <c r="E493" s="11" t="n"/>
      <c r="F493" s="14">
        <f>IF(OR(A493="",D493=""),"",D493*IF(E493="",1,E493))</f>
        <v/>
      </c>
      <c r="G493" s="9" t="n"/>
      <c r="H493">
        <f>IF(A493="","",YEAR(A493))</f>
        <v/>
      </c>
    </row>
    <row r="494">
      <c r="A494" s="10" t="n"/>
      <c r="B494" s="9" t="n"/>
      <c r="C494" s="9" t="n"/>
      <c r="D494" s="14" t="n"/>
      <c r="E494" s="11" t="n"/>
      <c r="F494" s="14">
        <f>IF(OR(A494="",D494=""),"",D494*IF(E494="",1,E494))</f>
        <v/>
      </c>
      <c r="G494" s="9" t="n"/>
      <c r="H494">
        <f>IF(A494="","",YEAR(A494))</f>
        <v/>
      </c>
    </row>
    <row r="495">
      <c r="A495" s="10" t="n"/>
      <c r="B495" s="9" t="n"/>
      <c r="C495" s="9" t="n"/>
      <c r="D495" s="14" t="n"/>
      <c r="E495" s="11" t="n"/>
      <c r="F495" s="14">
        <f>IF(OR(A495="",D495=""),"",D495*IF(E495="",1,E495))</f>
        <v/>
      </c>
      <c r="G495" s="9" t="n"/>
      <c r="H495">
        <f>IF(A495="","",YEAR(A495))</f>
        <v/>
      </c>
    </row>
    <row r="496">
      <c r="A496" s="10" t="n"/>
      <c r="B496" s="9" t="n"/>
      <c r="C496" s="9" t="n"/>
      <c r="D496" s="14" t="n"/>
      <c r="E496" s="11" t="n"/>
      <c r="F496" s="14">
        <f>IF(OR(A496="",D496=""),"",D496*IF(E496="",1,E496))</f>
        <v/>
      </c>
      <c r="G496" s="9" t="n"/>
      <c r="H496">
        <f>IF(A496="","",YEAR(A496))</f>
        <v/>
      </c>
    </row>
    <row r="497">
      <c r="A497" s="10" t="n"/>
      <c r="B497" s="9" t="n"/>
      <c r="C497" s="9" t="n"/>
      <c r="D497" s="14" t="n"/>
      <c r="E497" s="11" t="n"/>
      <c r="F497" s="14">
        <f>IF(OR(A497="",D497=""),"",D497*IF(E497="",1,E497))</f>
        <v/>
      </c>
      <c r="G497" s="9" t="n"/>
      <c r="H497">
        <f>IF(A497="","",YEAR(A497))</f>
        <v/>
      </c>
    </row>
    <row r="498">
      <c r="A498" s="10" t="n"/>
      <c r="B498" s="9" t="n"/>
      <c r="C498" s="9" t="n"/>
      <c r="D498" s="14" t="n"/>
      <c r="E498" s="11" t="n"/>
      <c r="F498" s="14">
        <f>IF(OR(A498="",D498=""),"",D498*IF(E498="",1,E498))</f>
        <v/>
      </c>
      <c r="G498" s="9" t="n"/>
      <c r="H498">
        <f>IF(A498="","",YEAR(A498))</f>
        <v/>
      </c>
    </row>
    <row r="499">
      <c r="A499" s="10" t="n"/>
      <c r="B499" s="9" t="n"/>
      <c r="C499" s="9" t="n"/>
      <c r="D499" s="14" t="n"/>
      <c r="E499" s="11" t="n"/>
      <c r="F499" s="14">
        <f>IF(OR(A499="",D499=""),"",D499*IF(E499="",1,E499))</f>
        <v/>
      </c>
      <c r="G499" s="9" t="n"/>
      <c r="H499">
        <f>IF(A499="","",YEAR(A499))</f>
        <v/>
      </c>
    </row>
    <row r="500">
      <c r="A500" s="10" t="n"/>
      <c r="B500" s="9" t="n"/>
      <c r="C500" s="9" t="n"/>
      <c r="D500" s="14" t="n"/>
      <c r="E500" s="11" t="n"/>
      <c r="F500" s="14">
        <f>IF(OR(A500="",D500=""),"",D500*IF(E500="",1,E500))</f>
        <v/>
      </c>
      <c r="G500" s="9" t="n"/>
      <c r="H500">
        <f>IF(A500="","",YEAR(A500))</f>
        <v/>
      </c>
    </row>
    <row r="501">
      <c r="A501" s="10" t="n"/>
      <c r="B501" s="9" t="n"/>
      <c r="C501" s="9" t="n"/>
      <c r="D501" s="14" t="n"/>
      <c r="E501" s="11" t="n"/>
      <c r="F501" s="14">
        <f>IF(OR(A501="",D501=""),"",D501*IF(E501="",1,E501))</f>
        <v/>
      </c>
      <c r="G501" s="9" t="n"/>
      <c r="H501">
        <f>IF(A501="","",YEAR(A501))</f>
        <v/>
      </c>
    </row>
    <row r="502">
      <c r="A502" s="10" t="n"/>
      <c r="B502" s="9" t="n"/>
      <c r="C502" s="9" t="n"/>
      <c r="D502" s="14" t="n"/>
      <c r="E502" s="11" t="n"/>
      <c r="F502" s="14">
        <f>IF(OR(A502="",D502=""),"",D502*IF(E502="",1,E502))</f>
        <v/>
      </c>
      <c r="G502" s="9" t="n"/>
      <c r="H502">
        <f>IF(A502="","",YEAR(A502))</f>
        <v/>
      </c>
    </row>
    <row r="503">
      <c r="A503" s="10" t="n"/>
      <c r="B503" s="9" t="n"/>
      <c r="C503" s="9" t="n"/>
      <c r="D503" s="14" t="n"/>
      <c r="E503" s="11" t="n"/>
      <c r="F503" s="14">
        <f>IF(OR(A503="",D503=""),"",D503*IF(E503="",1,E503))</f>
        <v/>
      </c>
      <c r="G503" s="9" t="n"/>
      <c r="H503">
        <f>IF(A503="","",YEAR(A503))</f>
        <v/>
      </c>
    </row>
    <row r="504">
      <c r="A504" s="10" t="n"/>
      <c r="B504" s="9" t="n"/>
      <c r="C504" s="9" t="n"/>
      <c r="D504" s="14" t="n"/>
      <c r="E504" s="11" t="n"/>
      <c r="F504" s="14">
        <f>IF(OR(A504="",D504=""),"",D504*IF(E504="",1,E504))</f>
        <v/>
      </c>
      <c r="G504" s="9" t="n"/>
      <c r="H504">
        <f>IF(A504="","",YEAR(A504))</f>
        <v/>
      </c>
    </row>
  </sheetData>
  <dataValidations count="2">
    <dataValidation sqref="C5:C504" showDropDown="0" showInputMessage="0" showErrorMessage="0" allowBlank="1" type="list">
      <formula1>"Software &amp; Subscriptions,Equipment &amp; Hardware,Home Office,Internet &amp; Phone,Marketing &amp; Advertising,Professional Services,Education &amp; Training,Travel,Meals (50%),Contractors &amp; Subcontractors,Bank &amp; Payment Fees,Insurance,Office Supplies,Other"</formula1>
    </dataValidation>
    <dataValidation sqref="G5:G50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Home office comparison</t>
        </is>
      </c>
    </row>
    <row r="2">
      <c r="A2" s="8" t="inlineStr">
        <is>
          <t>Compares the simplified method with an actual-expense estimate. Enter annual household costs.</t>
        </is>
      </c>
    </row>
    <row r="4">
      <c r="A4" s="15" t="inlineStr">
        <is>
          <t>Annual household cost</t>
        </is>
      </c>
      <c r="B4" s="15" t="inlineStr">
        <is>
          <t>Amount</t>
        </is>
      </c>
    </row>
    <row r="5">
      <c r="A5" t="inlineStr">
        <is>
          <t>Rent or mortgage interest</t>
        </is>
      </c>
      <c r="B5" s="16" t="n">
        <v>12000</v>
      </c>
    </row>
    <row r="6">
      <c r="A6" t="inlineStr">
        <is>
          <t>Utilities</t>
        </is>
      </c>
      <c r="B6" s="16" t="n">
        <v>1800</v>
      </c>
    </row>
    <row r="7">
      <c r="A7" t="inlineStr">
        <is>
          <t>Internet (home portion)</t>
        </is>
      </c>
      <c r="B7" s="16" t="n">
        <v>0</v>
      </c>
    </row>
    <row r="8">
      <c r="A8" t="inlineStr">
        <is>
          <t>Renters/home insurance</t>
        </is>
      </c>
      <c r="B8" s="16" t="n">
        <v>0</v>
      </c>
    </row>
    <row r="9">
      <c r="A9" t="inlineStr">
        <is>
          <t>Repairs &amp; maintenance</t>
        </is>
      </c>
      <c r="B9" s="16" t="n">
        <v>0</v>
      </c>
    </row>
    <row r="10">
      <c r="A10" t="inlineStr">
        <is>
          <t>Total household costs</t>
        </is>
      </c>
      <c r="B10" s="7">
        <f>SUM(B5:B9)</f>
        <v/>
      </c>
    </row>
    <row r="11">
      <c r="A11" t="inlineStr">
        <is>
          <t>Business-use share</t>
        </is>
      </c>
      <c r="B11" s="17">
        <f>IF(Settings!B10=0,0,MIN(Settings!B9,Settings!B10)/Settings!B10)</f>
        <v/>
      </c>
    </row>
    <row r="12">
      <c r="A12" t="inlineStr">
        <is>
          <t>Actual-expense deduction (estimate)</t>
        </is>
      </c>
      <c r="B12" s="7">
        <f>B10*B11</f>
        <v/>
      </c>
    </row>
    <row r="13">
      <c r="A13" t="inlineStr">
        <is>
          <t>Simplified-method deduction (max 300 sq ft)</t>
        </is>
      </c>
      <c r="B13" s="7">
        <f>MIN(Settings!B9,300)*Settings!B8</f>
        <v/>
      </c>
    </row>
    <row r="14">
      <c r="A14" t="inlineStr">
        <is>
          <t>Better method</t>
        </is>
      </c>
      <c r="B14">
        <f>IF(B12&gt;B13,"Actual expense","Simplified")</f>
        <v/>
      </c>
    </row>
    <row r="15">
      <c r="A15" t="inlineStr">
        <is>
          <t>Deduction to use</t>
        </is>
      </c>
      <c r="B15" s="7">
        <f>MAX(B12,B13)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2026-10-03T00:35:04Z</dcterms:created>
  <dcterms:modified xsi:type="dcterms:W3CDTF">2026-10-03T00:35:04Z</dcterms:modified>
</cp:coreProperties>
</file>