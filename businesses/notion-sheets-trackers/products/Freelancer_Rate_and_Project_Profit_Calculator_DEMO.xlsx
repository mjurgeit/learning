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Calculator" sheetId="1" state="visible" r:id="rId1"/>
    <sheet name="Project Profitability" sheetId="2" state="visible" r:id="rId2"/>
    <sheet name="Tim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</font>
    <font>
      <b val="1"/>
      <color rgb="001F2A44"/>
    </font>
    <font>
      <b val="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EAF4F3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9" fontId="0" fillId="2" borderId="1" pivotButton="0" quotePrefix="0" xfId="0"/>
    <xf numFmtId="1" fontId="0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2" borderId="1" pivotButton="0" quotePrefix="0" xfId="0"/>
    <xf numFmtId="164" fontId="0" fillId="0" borderId="0" pivotButton="0" quotePrefix="0" xfId="0"/>
    <xf numFmtId="165" fontId="0" fillId="2" borderId="1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Freelance Rate Calculator</t>
        </is>
      </c>
    </row>
    <row r="2">
      <c r="A2" s="2" t="inlineStr">
        <is>
          <t>Work backwards from the income you want to the hourly and day rate you must charge.</t>
        </is>
      </c>
    </row>
    <row r="4">
      <c r="A4" t="inlineStr">
        <is>
          <t>Desired annual take-home pay</t>
        </is>
      </c>
      <c r="B4" s="3" t="n">
        <v>60000</v>
      </c>
    </row>
    <row r="5">
      <c r="A5" t="inlineStr">
        <is>
          <t>Annual business expenses</t>
        </is>
      </c>
      <c r="B5" s="3" t="n">
        <v>6000</v>
      </c>
    </row>
    <row r="6">
      <c r="A6" t="inlineStr">
        <is>
          <t>Annual health insurance / retirement you fund</t>
        </is>
      </c>
      <c r="B6" s="3" t="n">
        <v>5000</v>
      </c>
    </row>
    <row r="7">
      <c r="A7" t="inlineStr">
        <is>
          <t>Estimated total tax rate (SE + income + state)</t>
        </is>
      </c>
      <c r="B7" s="4" t="n">
        <v>0.3</v>
      </c>
    </row>
    <row r="8">
      <c r="A8" t="inlineStr">
        <is>
          <t>Weeks worked per year (after holidays, vacation)</t>
        </is>
      </c>
      <c r="B8" s="5" t="n">
        <v>46</v>
      </c>
    </row>
    <row r="9">
      <c r="A9" t="inlineStr">
        <is>
          <t>Hours per week you work</t>
        </is>
      </c>
      <c r="B9" s="5" t="n">
        <v>40</v>
      </c>
    </row>
    <row r="10">
      <c r="A10" t="inlineStr">
        <is>
          <t>Billable share of working hours</t>
        </is>
      </c>
      <c r="B10" s="4" t="n">
        <v>0.6</v>
      </c>
    </row>
    <row r="11">
      <c r="A11" t="inlineStr">
        <is>
          <t>Profit buffer</t>
        </is>
      </c>
      <c r="B11" s="4" t="n">
        <v>0.1</v>
      </c>
    </row>
    <row r="12">
      <c r="A12" s="6" t="inlineStr">
        <is>
          <t>Results</t>
        </is>
      </c>
    </row>
    <row r="13">
      <c r="A13" s="7" t="inlineStr">
        <is>
          <t>Revenue needed before tax</t>
        </is>
      </c>
      <c r="B13" s="8">
        <f>(B4+B6)/(1-B7)+B5</f>
        <v/>
      </c>
    </row>
    <row r="14">
      <c r="A14" s="7" t="inlineStr">
        <is>
          <t>Revenue needed incl. profit buffer</t>
        </is>
      </c>
      <c r="B14" s="8">
        <f>B13*(1+B11)</f>
        <v/>
      </c>
    </row>
    <row r="15">
      <c r="A15" s="7" t="inlineStr">
        <is>
          <t>Billable hours per year</t>
        </is>
      </c>
      <c r="B15" s="9">
        <f>B8*B9*B10</f>
        <v/>
      </c>
    </row>
    <row r="16">
      <c r="A16" s="7" t="inlineStr">
        <is>
          <t>MINIMUM HOURLY RATE</t>
        </is>
      </c>
      <c r="B16" s="8">
        <f>IF(B15=0,0,B14/B15)</f>
        <v/>
      </c>
    </row>
    <row r="17">
      <c r="A17" s="7" t="inlineStr">
        <is>
          <t>Day rate (7 billable hrs)</t>
        </is>
      </c>
      <c r="B17" s="8">
        <f>B16*7</f>
        <v/>
      </c>
    </row>
    <row r="18">
      <c r="A18" s="7" t="inlineStr">
        <is>
          <t>Project rate for 20 hours</t>
        </is>
      </c>
      <c r="B18" s="8">
        <f>B16*20</f>
        <v/>
      </c>
    </row>
    <row r="19">
      <c r="A19" s="7" t="inlineStr">
        <is>
          <t>Monthly revenue target</t>
        </is>
      </c>
      <c r="B19" s="8">
        <f>B14/12</f>
        <v/>
      </c>
    </row>
    <row r="21">
      <c r="A21" t="inlineStr">
        <is>
          <t>Tip: billable share is usually 50-70% for freelancers - admin, sales and invoicing eat the 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1" customWidth="1" min="4" max="4"/>
    <col width="12" customWidth="1" min="5" max="5"/>
    <col width="13" customWidth="1" min="6" max="6"/>
    <col width="13" customWidth="1" min="7" max="7"/>
    <col width="15" customWidth="1" min="8" max="8"/>
    <col width="13" customWidth="1" min="9" max="9"/>
    <col width="12" customWidth="1" min="10" max="10"/>
    <col width="16" customWidth="1" min="11" max="11"/>
    <col width="20" customWidth="1" min="13" max="13"/>
    <col width="14" customWidth="1" min="14" max="14"/>
  </cols>
  <sheetData>
    <row r="1">
      <c r="A1" s="1" t="inlineStr">
        <is>
          <t>Project profitability</t>
        </is>
      </c>
    </row>
    <row r="2">
      <c r="A2" s="2" t="inlineStr">
        <is>
          <t>Quote vs reality. Find out which clients and project types actually pay you well.</t>
        </is>
      </c>
    </row>
    <row r="4" ht="30" customHeight="1">
      <c r="A4" s="10" t="inlineStr">
        <is>
          <t>Project</t>
        </is>
      </c>
      <c r="B4" s="10" t="inlineStr">
        <is>
          <t>Client</t>
        </is>
      </c>
      <c r="C4" s="10" t="inlineStr">
        <is>
          <t>Quoted price</t>
        </is>
      </c>
      <c r="D4" s="10" t="inlineStr">
        <is>
          <t>Est. hours</t>
        </is>
      </c>
      <c r="E4" s="10" t="inlineStr">
        <is>
          <t>Actual hours</t>
        </is>
      </c>
      <c r="F4" s="10" t="inlineStr">
        <is>
          <t>Direct costs</t>
        </is>
      </c>
      <c r="G4" s="10" t="inlineStr">
        <is>
          <t>Profit</t>
        </is>
      </c>
      <c r="H4" s="10" t="inlineStr">
        <is>
          <t>Effective hourly</t>
        </is>
      </c>
      <c r="I4" s="10" t="inlineStr">
        <is>
          <t>Target hourly</t>
        </is>
      </c>
      <c r="J4" s="10" t="inlineStr">
        <is>
          <t>vs target</t>
        </is>
      </c>
      <c r="K4" s="10" t="inlineStr">
        <is>
          <t>Verdict</t>
        </is>
      </c>
      <c r="M4" s="11" t="inlineStr">
        <is>
          <t>Totals</t>
        </is>
      </c>
    </row>
    <row r="5">
      <c r="A5" s="12" t="inlineStr">
        <is>
          <t>Logo pack</t>
        </is>
      </c>
      <c r="B5" s="12" t="inlineStr">
        <is>
          <t>Acme Co</t>
        </is>
      </c>
      <c r="C5" s="3" t="n">
        <v>1500</v>
      </c>
      <c r="D5" s="12" t="n">
        <v>15</v>
      </c>
      <c r="E5" s="12" t="n">
        <v>20</v>
      </c>
      <c r="F5" s="3" t="n">
        <v>50</v>
      </c>
      <c r="G5" s="13">
        <f>IF(C5="","",C5-IF(F5="",0,F5))</f>
        <v/>
      </c>
      <c r="H5" s="13">
        <f>IF(OR(C5="",E5="",E5=0),"",G5/E5)</f>
        <v/>
      </c>
      <c r="I5" s="13">
        <f>IF(C5="","",'Rate Calculator'!$B$16)</f>
        <v/>
      </c>
      <c r="J5" s="13">
        <f>IF(OR(H5="",I5=""),"",H5-I5)</f>
        <v/>
      </c>
      <c r="K5">
        <f>IF(H5="","",IF(H5&gt;=I5,"On target",IF(H5&gt;=0.7*I5,"Underpriced","Money loser")))</f>
        <v/>
      </c>
      <c r="M5" t="inlineStr">
        <is>
          <t>Revenue</t>
        </is>
      </c>
      <c r="N5" s="13">
        <f>SUM(C5:C204)</f>
        <v/>
      </c>
    </row>
    <row r="6">
      <c r="A6" s="12" t="inlineStr">
        <is>
          <t>Website</t>
        </is>
      </c>
      <c r="B6" s="12" t="inlineStr">
        <is>
          <t>Birch Studio</t>
        </is>
      </c>
      <c r="C6" s="3" t="n">
        <v>4000</v>
      </c>
      <c r="D6" s="12" t="n">
        <v>40</v>
      </c>
      <c r="E6" s="12" t="n">
        <v>38</v>
      </c>
      <c r="F6" s="3" t="n">
        <v>200</v>
      </c>
      <c r="G6" s="13">
        <f>IF(C6="","",C6-IF(F6="",0,F6))</f>
        <v/>
      </c>
      <c r="H6" s="13">
        <f>IF(OR(C6="",E6="",E6=0),"",G6/E6)</f>
        <v/>
      </c>
      <c r="I6" s="13">
        <f>IF(C6="","",'Rate Calculator'!$B$16)</f>
        <v/>
      </c>
      <c r="J6" s="13">
        <f>IF(OR(H6="",I6=""),"",H6-I6)</f>
        <v/>
      </c>
      <c r="K6">
        <f>IF(H6="","",IF(H6&gt;=I6,"On target",IF(H6&gt;=0.7*I6,"Underpriced","Money loser")))</f>
        <v/>
      </c>
      <c r="M6" t="inlineStr">
        <is>
          <t>Profit</t>
        </is>
      </c>
      <c r="N6" s="13">
        <f>SUM(G5:G204)</f>
        <v/>
      </c>
    </row>
    <row r="7">
      <c r="A7" s="12" t="inlineStr">
        <is>
          <t>Newsletter</t>
        </is>
      </c>
      <c r="B7" s="12" t="inlineStr">
        <is>
          <t>Cobalt Ltd</t>
        </is>
      </c>
      <c r="C7" s="3" t="n">
        <v>600</v>
      </c>
      <c r="D7" s="12" t="n">
        <v>6</v>
      </c>
      <c r="E7" s="12" t="n">
        <v>16</v>
      </c>
      <c r="F7" s="3" t="n">
        <v>0</v>
      </c>
      <c r="G7" s="13">
        <f>IF(C7="","",C7-IF(F7="",0,F7))</f>
        <v/>
      </c>
      <c r="H7" s="13">
        <f>IF(OR(C7="",E7="",E7=0),"",G7/E7)</f>
        <v/>
      </c>
      <c r="I7" s="13">
        <f>IF(C7="","",'Rate Calculator'!$B$16)</f>
        <v/>
      </c>
      <c r="J7" s="13">
        <f>IF(OR(H7="",I7=""),"",H7-I7)</f>
        <v/>
      </c>
      <c r="K7">
        <f>IF(H7="","",IF(H7&gt;=I7,"On target",IF(H7&gt;=0.7*I7,"Underpriced","Money loser")))</f>
        <v/>
      </c>
      <c r="M7" t="inlineStr">
        <is>
          <t>Hours</t>
        </is>
      </c>
      <c r="N7">
        <f>SUM(E5:E204)</f>
        <v/>
      </c>
    </row>
    <row r="8">
      <c r="A8" s="12" t="n"/>
      <c r="B8" s="12" t="n"/>
      <c r="C8" s="3" t="n"/>
      <c r="D8" s="12" t="n"/>
      <c r="E8" s="12" t="n"/>
      <c r="F8" s="3" t="n"/>
      <c r="G8" s="13">
        <f>IF(C8="","",C8-IF(F8="",0,F8))</f>
        <v/>
      </c>
      <c r="H8" s="13">
        <f>IF(OR(C8="",E8="",E8=0),"",G8/E8)</f>
        <v/>
      </c>
      <c r="I8" s="13">
        <f>IF(C8="","",'Rate Calculator'!$B$16)</f>
        <v/>
      </c>
      <c r="J8" s="13">
        <f>IF(OR(H8="",I8=""),"",H8-I8)</f>
        <v/>
      </c>
      <c r="K8">
        <f>IF(H8="","",IF(H8&gt;=I8,"On target",IF(H8&gt;=0.7*I8,"Underpriced","Money loser")))</f>
        <v/>
      </c>
      <c r="M8" t="inlineStr">
        <is>
          <t>Blended hourly</t>
        </is>
      </c>
      <c r="N8" s="13">
        <f>IF(N7=0,0,SUMIFS(G5:G204,E5:E204,"&gt;0")/N7)</f>
        <v/>
      </c>
    </row>
    <row r="9">
      <c r="A9" s="12" t="n"/>
      <c r="B9" s="12" t="n"/>
      <c r="C9" s="3" t="n"/>
      <c r="D9" s="12" t="n"/>
      <c r="E9" s="12" t="n"/>
      <c r="F9" s="3" t="n"/>
      <c r="G9" s="13">
        <f>IF(C9="","",C9-IF(F9="",0,F9))</f>
        <v/>
      </c>
      <c r="H9" s="13">
        <f>IF(OR(C9="",E9="",E9=0),"",G9/E9)</f>
        <v/>
      </c>
      <c r="I9" s="13">
        <f>IF(C9="","",'Rate Calculator'!$B$16)</f>
        <v/>
      </c>
      <c r="J9" s="13">
        <f>IF(OR(H9="",I9=""),"",H9-I9)</f>
        <v/>
      </c>
      <c r="K9">
        <f>IF(H9="","",IF(H9&gt;=I9,"On target",IF(H9&gt;=0.7*I9,"Underpriced","Money loser")))</f>
        <v/>
      </c>
      <c r="M9" t="inlineStr">
        <is>
          <t>Hours over estimate</t>
        </is>
      </c>
      <c r="N9">
        <f>SUMPRODUCT((D5:D204&lt;&gt;"")*(E5:E204&lt;&gt;"")*(E5:E204-D5:D204))</f>
        <v/>
      </c>
    </row>
    <row r="10">
      <c r="A10" s="12" t="n"/>
      <c r="B10" s="12" t="n"/>
      <c r="C10" s="3" t="n"/>
      <c r="D10" s="12" t="n"/>
      <c r="E10" s="12" t="n"/>
      <c r="F10" s="3" t="n"/>
      <c r="G10" s="13">
        <f>IF(C10="","",C10-IF(F10="",0,F10))</f>
        <v/>
      </c>
      <c r="H10" s="13">
        <f>IF(OR(C10="",E10="",E10=0),"",G10/E10)</f>
        <v/>
      </c>
      <c r="I10" s="13">
        <f>IF(C10="","",'Rate Calculator'!$B$16)</f>
        <v/>
      </c>
      <c r="J10" s="13">
        <f>IF(OR(H10="",I10=""),"",H10-I10)</f>
        <v/>
      </c>
      <c r="K10">
        <f>IF(H10="","",IF(H10&gt;=I10,"On target",IF(H10&gt;=0.7*I10,"Underpriced","Money loser")))</f>
        <v/>
      </c>
    </row>
    <row r="11">
      <c r="A11" s="12" t="n"/>
      <c r="B11" s="12" t="n"/>
      <c r="C11" s="3" t="n"/>
      <c r="D11" s="12" t="n"/>
      <c r="E11" s="12" t="n"/>
      <c r="F11" s="3" t="n"/>
      <c r="G11" s="13">
        <f>IF(C11="","",C11-IF(F11="",0,F11))</f>
        <v/>
      </c>
      <c r="H11" s="13">
        <f>IF(OR(C11="",E11="",E11=0),"",G11/E11)</f>
        <v/>
      </c>
      <c r="I11" s="13">
        <f>IF(C11="","",'Rate Calculator'!$B$16)</f>
        <v/>
      </c>
      <c r="J11" s="13">
        <f>IF(OR(H11="",I11=""),"",H11-I11)</f>
        <v/>
      </c>
      <c r="K11">
        <f>IF(H11="","",IF(H11&gt;=I11,"On target",IF(H11&gt;=0.7*I11,"Underpriced","Money loser")))</f>
        <v/>
      </c>
    </row>
    <row r="12">
      <c r="A12" s="12" t="n"/>
      <c r="B12" s="12" t="n"/>
      <c r="C12" s="3" t="n"/>
      <c r="D12" s="12" t="n"/>
      <c r="E12" s="12" t="n"/>
      <c r="F12" s="3" t="n"/>
      <c r="G12" s="13">
        <f>IF(C12="","",C12-IF(F12="",0,F12))</f>
        <v/>
      </c>
      <c r="H12" s="13">
        <f>IF(OR(C12="",E12="",E12=0),"",G12/E12)</f>
        <v/>
      </c>
      <c r="I12" s="13">
        <f>IF(C12="","",'Rate Calculator'!$B$16)</f>
        <v/>
      </c>
      <c r="J12" s="13">
        <f>IF(OR(H12="",I12=""),"",H12-I12)</f>
        <v/>
      </c>
      <c r="K12">
        <f>IF(H12="","",IF(H12&gt;=I12,"On target",IF(H12&gt;=0.7*I12,"Underpriced","Money loser")))</f>
        <v/>
      </c>
    </row>
    <row r="13">
      <c r="A13" s="12" t="n"/>
      <c r="B13" s="12" t="n"/>
      <c r="C13" s="3" t="n"/>
      <c r="D13" s="12" t="n"/>
      <c r="E13" s="12" t="n"/>
      <c r="F13" s="3" t="n"/>
      <c r="G13" s="13">
        <f>IF(C13="","",C13-IF(F13="",0,F13))</f>
        <v/>
      </c>
      <c r="H13" s="13">
        <f>IF(OR(C13="",E13="",E13=0),"",G13/E13)</f>
        <v/>
      </c>
      <c r="I13" s="13">
        <f>IF(C13="","",'Rate Calculator'!$B$16)</f>
        <v/>
      </c>
      <c r="J13" s="13">
        <f>IF(OR(H13="",I13=""),"",H13-I13)</f>
        <v/>
      </c>
      <c r="K13">
        <f>IF(H13="","",IF(H13&gt;=I13,"On target",IF(H13&gt;=0.7*I13,"Underpriced","Money loser")))</f>
        <v/>
      </c>
    </row>
    <row r="14">
      <c r="A14" s="12" t="n"/>
      <c r="B14" s="12" t="n"/>
      <c r="C14" s="3" t="n"/>
      <c r="D14" s="12" t="n"/>
      <c r="E14" s="12" t="n"/>
      <c r="F14" s="3" t="n"/>
      <c r="G14" s="13">
        <f>IF(C14="","",C14-IF(F14="",0,F14))</f>
        <v/>
      </c>
      <c r="H14" s="13">
        <f>IF(OR(C14="",E14="",E14=0),"",G14/E14)</f>
        <v/>
      </c>
      <c r="I14" s="13">
        <f>IF(C14="","",'Rate Calculator'!$B$16)</f>
        <v/>
      </c>
      <c r="J14" s="13">
        <f>IF(OR(H14="",I14=""),"",H14-I14)</f>
        <v/>
      </c>
      <c r="K14">
        <f>IF(H14="","",IF(H14&gt;=I14,"On target",IF(H14&gt;=0.7*I14,"Underpriced","Money loser")))</f>
        <v/>
      </c>
    </row>
    <row r="15">
      <c r="A15" s="12" t="n"/>
      <c r="B15" s="12" t="n"/>
      <c r="C15" s="3" t="n"/>
      <c r="D15" s="12" t="n"/>
      <c r="E15" s="12" t="n"/>
      <c r="F15" s="3" t="n"/>
      <c r="G15" s="13">
        <f>IF(C15="","",C15-IF(F15="",0,F15))</f>
        <v/>
      </c>
      <c r="H15" s="13">
        <f>IF(OR(C15="",E15="",E15=0),"",G15/E15)</f>
        <v/>
      </c>
      <c r="I15" s="13">
        <f>IF(C15="","",'Rate Calculator'!$B$16)</f>
        <v/>
      </c>
      <c r="J15" s="13">
        <f>IF(OR(H15="",I15=""),"",H15-I15)</f>
        <v/>
      </c>
      <c r="K15">
        <f>IF(H15="","",IF(H15&gt;=I15,"On target",IF(H15&gt;=0.7*I15,"Underpriced","Money loser")))</f>
        <v/>
      </c>
    </row>
    <row r="16">
      <c r="A16" s="12" t="n"/>
      <c r="B16" s="12" t="n"/>
      <c r="C16" s="3" t="n"/>
      <c r="D16" s="12" t="n"/>
      <c r="E16" s="12" t="n"/>
      <c r="F16" s="3" t="n"/>
      <c r="G16" s="13">
        <f>IF(C16="","",C16-IF(F16="",0,F16))</f>
        <v/>
      </c>
      <c r="H16" s="13">
        <f>IF(OR(C16="",E16="",E16=0),"",G16/E16)</f>
        <v/>
      </c>
      <c r="I16" s="13">
        <f>IF(C16="","",'Rate Calculator'!$B$16)</f>
        <v/>
      </c>
      <c r="J16" s="13">
        <f>IF(OR(H16="",I16=""),"",H16-I16)</f>
        <v/>
      </c>
      <c r="K16">
        <f>IF(H16="","",IF(H16&gt;=I16,"On target",IF(H16&gt;=0.7*I16,"Underpriced","Money loser")))</f>
        <v/>
      </c>
    </row>
    <row r="17">
      <c r="A17" s="12" t="n"/>
      <c r="B17" s="12" t="n"/>
      <c r="C17" s="3" t="n"/>
      <c r="D17" s="12" t="n"/>
      <c r="E17" s="12" t="n"/>
      <c r="F17" s="3" t="n"/>
      <c r="G17" s="13">
        <f>IF(C17="","",C17-IF(F17="",0,F17))</f>
        <v/>
      </c>
      <c r="H17" s="13">
        <f>IF(OR(C17="",E17="",E17=0),"",G17/E17)</f>
        <v/>
      </c>
      <c r="I17" s="13">
        <f>IF(C17="","",'Rate Calculator'!$B$16)</f>
        <v/>
      </c>
      <c r="J17" s="13">
        <f>IF(OR(H17="",I17=""),"",H17-I17)</f>
        <v/>
      </c>
      <c r="K17">
        <f>IF(H17="","",IF(H17&gt;=I17,"On target",IF(H17&gt;=0.7*I17,"Underpriced","Money loser")))</f>
        <v/>
      </c>
    </row>
    <row r="18">
      <c r="A18" s="12" t="n"/>
      <c r="B18" s="12" t="n"/>
      <c r="C18" s="3" t="n"/>
      <c r="D18" s="12" t="n"/>
      <c r="E18" s="12" t="n"/>
      <c r="F18" s="3" t="n"/>
      <c r="G18" s="13">
        <f>IF(C18="","",C18-IF(F18="",0,F18))</f>
        <v/>
      </c>
      <c r="H18" s="13">
        <f>IF(OR(C18="",E18="",E18=0),"",G18/E18)</f>
        <v/>
      </c>
      <c r="I18" s="13">
        <f>IF(C18="","",'Rate Calculator'!$B$16)</f>
        <v/>
      </c>
      <c r="J18" s="13">
        <f>IF(OR(H18="",I18=""),"",H18-I18)</f>
        <v/>
      </c>
      <c r="K18">
        <f>IF(H18="","",IF(H18&gt;=I18,"On target",IF(H18&gt;=0.7*I18,"Underpriced","Money loser")))</f>
        <v/>
      </c>
    </row>
    <row r="19">
      <c r="A19" s="12" t="n"/>
      <c r="B19" s="12" t="n"/>
      <c r="C19" s="3" t="n"/>
      <c r="D19" s="12" t="n"/>
      <c r="E19" s="12" t="n"/>
      <c r="F19" s="3" t="n"/>
      <c r="G19" s="13">
        <f>IF(C19="","",C19-IF(F19="",0,F19))</f>
        <v/>
      </c>
      <c r="H19" s="13">
        <f>IF(OR(C19="",E19="",E19=0),"",G19/E19)</f>
        <v/>
      </c>
      <c r="I19" s="13">
        <f>IF(C19="","",'Rate Calculator'!$B$16)</f>
        <v/>
      </c>
      <c r="J19" s="13">
        <f>IF(OR(H19="",I19=""),"",H19-I19)</f>
        <v/>
      </c>
      <c r="K19">
        <f>IF(H19="","",IF(H19&gt;=I19,"On target",IF(H19&gt;=0.7*I19,"Underpriced","Money loser")))</f>
        <v/>
      </c>
    </row>
    <row r="20">
      <c r="A20" s="12" t="n"/>
      <c r="B20" s="12" t="n"/>
      <c r="C20" s="3" t="n"/>
      <c r="D20" s="12" t="n"/>
      <c r="E20" s="12" t="n"/>
      <c r="F20" s="3" t="n"/>
      <c r="G20" s="13">
        <f>IF(C20="","",C20-IF(F20="",0,F20))</f>
        <v/>
      </c>
      <c r="H20" s="13">
        <f>IF(OR(C20="",E20="",E20=0),"",G20/E20)</f>
        <v/>
      </c>
      <c r="I20" s="13">
        <f>IF(C20="","",'Rate Calculator'!$B$16)</f>
        <v/>
      </c>
      <c r="J20" s="13">
        <f>IF(OR(H20="",I20=""),"",H20-I20)</f>
        <v/>
      </c>
      <c r="K20">
        <f>IF(H20="","",IF(H20&gt;=I20,"On target",IF(H20&gt;=0.7*I20,"Underpriced","Money loser")))</f>
        <v/>
      </c>
    </row>
    <row r="21">
      <c r="A21" s="12" t="n"/>
      <c r="B21" s="12" t="n"/>
      <c r="C21" s="3" t="n"/>
      <c r="D21" s="12" t="n"/>
      <c r="E21" s="12" t="n"/>
      <c r="F21" s="3" t="n"/>
      <c r="G21" s="13">
        <f>IF(C21="","",C21-IF(F21="",0,F21))</f>
        <v/>
      </c>
      <c r="H21" s="13">
        <f>IF(OR(C21="",E21="",E21=0),"",G21/E21)</f>
        <v/>
      </c>
      <c r="I21" s="13">
        <f>IF(C21="","",'Rate Calculator'!$B$16)</f>
        <v/>
      </c>
      <c r="J21" s="13">
        <f>IF(OR(H21="",I21=""),"",H21-I21)</f>
        <v/>
      </c>
      <c r="K21">
        <f>IF(H21="","",IF(H21&gt;=I21,"On target",IF(H21&gt;=0.7*I21,"Underpriced","Money loser")))</f>
        <v/>
      </c>
    </row>
    <row r="22">
      <c r="A22" s="12" t="n"/>
      <c r="B22" s="12" t="n"/>
      <c r="C22" s="3" t="n"/>
      <c r="D22" s="12" t="n"/>
      <c r="E22" s="12" t="n"/>
      <c r="F22" s="3" t="n"/>
      <c r="G22" s="13">
        <f>IF(C22="","",C22-IF(F22="",0,F22))</f>
        <v/>
      </c>
      <c r="H22" s="13">
        <f>IF(OR(C22="",E22="",E22=0),"",G22/E22)</f>
        <v/>
      </c>
      <c r="I22" s="13">
        <f>IF(C22="","",'Rate Calculator'!$B$16)</f>
        <v/>
      </c>
      <c r="J22" s="13">
        <f>IF(OR(H22="",I22=""),"",H22-I22)</f>
        <v/>
      </c>
      <c r="K22">
        <f>IF(H22="","",IF(H22&gt;=I22,"On target",IF(H22&gt;=0.7*I22,"Underpriced","Money loser")))</f>
        <v/>
      </c>
    </row>
    <row r="23">
      <c r="A23" s="12" t="n"/>
      <c r="B23" s="12" t="n"/>
      <c r="C23" s="3" t="n"/>
      <c r="D23" s="12" t="n"/>
      <c r="E23" s="12" t="n"/>
      <c r="F23" s="3" t="n"/>
      <c r="G23" s="13">
        <f>IF(C23="","",C23-IF(F23="",0,F23))</f>
        <v/>
      </c>
      <c r="H23" s="13">
        <f>IF(OR(C23="",E23="",E23=0),"",G23/E23)</f>
        <v/>
      </c>
      <c r="I23" s="13">
        <f>IF(C23="","",'Rate Calculator'!$B$16)</f>
        <v/>
      </c>
      <c r="J23" s="13">
        <f>IF(OR(H23="",I23=""),"",H23-I23)</f>
        <v/>
      </c>
      <c r="K23">
        <f>IF(H23="","",IF(H23&gt;=I23,"On target",IF(H23&gt;=0.7*I23,"Underpriced","Money loser")))</f>
        <v/>
      </c>
    </row>
    <row r="24">
      <c r="A24" s="12" t="n"/>
      <c r="B24" s="12" t="n"/>
      <c r="C24" s="3" t="n"/>
      <c r="D24" s="12" t="n"/>
      <c r="E24" s="12" t="n"/>
      <c r="F24" s="3" t="n"/>
      <c r="G24" s="13">
        <f>IF(C24="","",C24-IF(F24="",0,F24))</f>
        <v/>
      </c>
      <c r="H24" s="13">
        <f>IF(OR(C24="",E24="",E24=0),"",G24/E24)</f>
        <v/>
      </c>
      <c r="I24" s="13">
        <f>IF(C24="","",'Rate Calculator'!$B$16)</f>
        <v/>
      </c>
      <c r="J24" s="13">
        <f>IF(OR(H24="",I24=""),"",H24-I24)</f>
        <v/>
      </c>
      <c r="K24">
        <f>IF(H24="","",IF(H24&gt;=I24,"On target",IF(H24&gt;=0.7*I24,"Underpriced","Money loser")))</f>
        <v/>
      </c>
    </row>
    <row r="25">
      <c r="A25" s="12" t="n"/>
      <c r="B25" s="12" t="n"/>
      <c r="C25" s="3" t="n"/>
      <c r="D25" s="12" t="n"/>
      <c r="E25" s="12" t="n"/>
      <c r="F25" s="3" t="n"/>
      <c r="G25" s="13">
        <f>IF(C25="","",C25-IF(F25="",0,F25))</f>
        <v/>
      </c>
      <c r="H25" s="13">
        <f>IF(OR(C25="",E25="",E25=0),"",G25/E25)</f>
        <v/>
      </c>
      <c r="I25" s="13">
        <f>IF(C25="","",'Rate Calculator'!$B$16)</f>
        <v/>
      </c>
      <c r="J25" s="13">
        <f>IF(OR(H25="",I25=""),"",H25-I25)</f>
        <v/>
      </c>
      <c r="K25">
        <f>IF(H25="","",IF(H25&gt;=I25,"On target",IF(H25&gt;=0.7*I25,"Underpriced","Money loser")))</f>
        <v/>
      </c>
    </row>
    <row r="26">
      <c r="A26" s="12" t="n"/>
      <c r="B26" s="12" t="n"/>
      <c r="C26" s="3" t="n"/>
      <c r="D26" s="12" t="n"/>
      <c r="E26" s="12" t="n"/>
      <c r="F26" s="3" t="n"/>
      <c r="G26" s="13">
        <f>IF(C26="","",C26-IF(F26="",0,F26))</f>
        <v/>
      </c>
      <c r="H26" s="13">
        <f>IF(OR(C26="",E26="",E26=0),"",G26/E26)</f>
        <v/>
      </c>
      <c r="I26" s="13">
        <f>IF(C26="","",'Rate Calculator'!$B$16)</f>
        <v/>
      </c>
      <c r="J26" s="13">
        <f>IF(OR(H26="",I26=""),"",H26-I26)</f>
        <v/>
      </c>
      <c r="K26">
        <f>IF(H26="","",IF(H26&gt;=I26,"On target",IF(H26&gt;=0.7*I26,"Underpriced","Money loser")))</f>
        <v/>
      </c>
    </row>
    <row r="27">
      <c r="A27" s="12" t="n"/>
      <c r="B27" s="12" t="n"/>
      <c r="C27" s="3" t="n"/>
      <c r="D27" s="12" t="n"/>
      <c r="E27" s="12" t="n"/>
      <c r="F27" s="3" t="n"/>
      <c r="G27" s="13">
        <f>IF(C27="","",C27-IF(F27="",0,F27))</f>
        <v/>
      </c>
      <c r="H27" s="13">
        <f>IF(OR(C27="",E27="",E27=0),"",G27/E27)</f>
        <v/>
      </c>
      <c r="I27" s="13">
        <f>IF(C27="","",'Rate Calculator'!$B$16)</f>
        <v/>
      </c>
      <c r="J27" s="13">
        <f>IF(OR(H27="",I27=""),"",H27-I27)</f>
        <v/>
      </c>
      <c r="K27">
        <f>IF(H27="","",IF(H27&gt;=I27,"On target",IF(H27&gt;=0.7*I27,"Underpriced","Money loser")))</f>
        <v/>
      </c>
    </row>
    <row r="28">
      <c r="A28" s="12" t="n"/>
      <c r="B28" s="12" t="n"/>
      <c r="C28" s="3" t="n"/>
      <c r="D28" s="12" t="n"/>
      <c r="E28" s="12" t="n"/>
      <c r="F28" s="3" t="n"/>
      <c r="G28" s="13">
        <f>IF(C28="","",C28-IF(F28="",0,F28))</f>
        <v/>
      </c>
      <c r="H28" s="13">
        <f>IF(OR(C28="",E28="",E28=0),"",G28/E28)</f>
        <v/>
      </c>
      <c r="I28" s="13">
        <f>IF(C28="","",'Rate Calculator'!$B$16)</f>
        <v/>
      </c>
      <c r="J28" s="13">
        <f>IF(OR(H28="",I28=""),"",H28-I28)</f>
        <v/>
      </c>
      <c r="K28">
        <f>IF(H28="","",IF(H28&gt;=I28,"On target",IF(H28&gt;=0.7*I28,"Underpriced","Money loser")))</f>
        <v/>
      </c>
    </row>
    <row r="29">
      <c r="A29" s="12" t="n"/>
      <c r="B29" s="12" t="n"/>
      <c r="C29" s="3" t="n"/>
      <c r="D29" s="12" t="n"/>
      <c r="E29" s="12" t="n"/>
      <c r="F29" s="3" t="n"/>
      <c r="G29" s="13">
        <f>IF(C29="","",C29-IF(F29="",0,F29))</f>
        <v/>
      </c>
      <c r="H29" s="13">
        <f>IF(OR(C29="",E29="",E29=0),"",G29/E29)</f>
        <v/>
      </c>
      <c r="I29" s="13">
        <f>IF(C29="","",'Rate Calculator'!$B$16)</f>
        <v/>
      </c>
      <c r="J29" s="13">
        <f>IF(OR(H29="",I29=""),"",H29-I29)</f>
        <v/>
      </c>
      <c r="K29">
        <f>IF(H29="","",IF(H29&gt;=I29,"On target",IF(H29&gt;=0.7*I29,"Underpriced","Money loser")))</f>
        <v/>
      </c>
    </row>
    <row r="30">
      <c r="A30" s="12" t="n"/>
      <c r="B30" s="12" t="n"/>
      <c r="C30" s="3" t="n"/>
      <c r="D30" s="12" t="n"/>
      <c r="E30" s="12" t="n"/>
      <c r="F30" s="3" t="n"/>
      <c r="G30" s="13">
        <f>IF(C30="","",C30-IF(F30="",0,F30))</f>
        <v/>
      </c>
      <c r="H30" s="13">
        <f>IF(OR(C30="",E30="",E30=0),"",G30/E30)</f>
        <v/>
      </c>
      <c r="I30" s="13">
        <f>IF(C30="","",'Rate Calculator'!$B$16)</f>
        <v/>
      </c>
      <c r="J30" s="13">
        <f>IF(OR(H30="",I30=""),"",H30-I30)</f>
        <v/>
      </c>
      <c r="K30">
        <f>IF(H30="","",IF(H30&gt;=I30,"On target",IF(H30&gt;=0.7*I30,"Underpriced","Money loser")))</f>
        <v/>
      </c>
    </row>
    <row r="31">
      <c r="A31" s="12" t="n"/>
      <c r="B31" s="12" t="n"/>
      <c r="C31" s="3" t="n"/>
      <c r="D31" s="12" t="n"/>
      <c r="E31" s="12" t="n"/>
      <c r="F31" s="3" t="n"/>
      <c r="G31" s="13">
        <f>IF(C31="","",C31-IF(F31="",0,F31))</f>
        <v/>
      </c>
      <c r="H31" s="13">
        <f>IF(OR(C31="",E31="",E31=0),"",G31/E31)</f>
        <v/>
      </c>
      <c r="I31" s="13">
        <f>IF(C31="","",'Rate Calculator'!$B$16)</f>
        <v/>
      </c>
      <c r="J31" s="13">
        <f>IF(OR(H31="",I31=""),"",H31-I31)</f>
        <v/>
      </c>
      <c r="K31">
        <f>IF(H31="","",IF(H31&gt;=I31,"On target",IF(H31&gt;=0.7*I31,"Underpriced","Money loser")))</f>
        <v/>
      </c>
    </row>
    <row r="32">
      <c r="A32" s="12" t="n"/>
      <c r="B32" s="12" t="n"/>
      <c r="C32" s="3" t="n"/>
      <c r="D32" s="12" t="n"/>
      <c r="E32" s="12" t="n"/>
      <c r="F32" s="3" t="n"/>
      <c r="G32" s="13">
        <f>IF(C32="","",C32-IF(F32="",0,F32))</f>
        <v/>
      </c>
      <c r="H32" s="13">
        <f>IF(OR(C32="",E32="",E32=0),"",G32/E32)</f>
        <v/>
      </c>
      <c r="I32" s="13">
        <f>IF(C32="","",'Rate Calculator'!$B$16)</f>
        <v/>
      </c>
      <c r="J32" s="13">
        <f>IF(OR(H32="",I32=""),"",H32-I32)</f>
        <v/>
      </c>
      <c r="K32">
        <f>IF(H32="","",IF(H32&gt;=I32,"On target",IF(H32&gt;=0.7*I32,"Underpriced","Money loser")))</f>
        <v/>
      </c>
    </row>
    <row r="33">
      <c r="A33" s="12" t="n"/>
      <c r="B33" s="12" t="n"/>
      <c r="C33" s="3" t="n"/>
      <c r="D33" s="12" t="n"/>
      <c r="E33" s="12" t="n"/>
      <c r="F33" s="3" t="n"/>
      <c r="G33" s="13">
        <f>IF(C33="","",C33-IF(F33="",0,F33))</f>
        <v/>
      </c>
      <c r="H33" s="13">
        <f>IF(OR(C33="",E33="",E33=0),"",G33/E33)</f>
        <v/>
      </c>
      <c r="I33" s="13">
        <f>IF(C33="","",'Rate Calculator'!$B$16)</f>
        <v/>
      </c>
      <c r="J33" s="13">
        <f>IF(OR(H33="",I33=""),"",H33-I33)</f>
        <v/>
      </c>
      <c r="K33">
        <f>IF(H33="","",IF(H33&gt;=I33,"On target",IF(H33&gt;=0.7*I33,"Underpriced","Money loser")))</f>
        <v/>
      </c>
    </row>
    <row r="34">
      <c r="A34" s="12" t="n"/>
      <c r="B34" s="12" t="n"/>
      <c r="C34" s="3" t="n"/>
      <c r="D34" s="12" t="n"/>
      <c r="E34" s="12" t="n"/>
      <c r="F34" s="3" t="n"/>
      <c r="G34" s="13">
        <f>IF(C34="","",C34-IF(F34="",0,F34))</f>
        <v/>
      </c>
      <c r="H34" s="13">
        <f>IF(OR(C34="",E34="",E34=0),"",G34/E34)</f>
        <v/>
      </c>
      <c r="I34" s="13">
        <f>IF(C34="","",'Rate Calculator'!$B$16)</f>
        <v/>
      </c>
      <c r="J34" s="13">
        <f>IF(OR(H34="",I34=""),"",H34-I34)</f>
        <v/>
      </c>
      <c r="K34">
        <f>IF(H34="","",IF(H34&gt;=I34,"On target",IF(H34&gt;=0.7*I34,"Underpriced","Money loser")))</f>
        <v/>
      </c>
    </row>
    <row r="35">
      <c r="A35" s="12" t="n"/>
      <c r="B35" s="12" t="n"/>
      <c r="C35" s="3" t="n"/>
      <c r="D35" s="12" t="n"/>
      <c r="E35" s="12" t="n"/>
      <c r="F35" s="3" t="n"/>
      <c r="G35" s="13">
        <f>IF(C35="","",C35-IF(F35="",0,F35))</f>
        <v/>
      </c>
      <c r="H35" s="13">
        <f>IF(OR(C35="",E35="",E35=0),"",G35/E35)</f>
        <v/>
      </c>
      <c r="I35" s="13">
        <f>IF(C35="","",'Rate Calculator'!$B$16)</f>
        <v/>
      </c>
      <c r="J35" s="13">
        <f>IF(OR(H35="",I35=""),"",H35-I35)</f>
        <v/>
      </c>
      <c r="K35">
        <f>IF(H35="","",IF(H35&gt;=I35,"On target",IF(H35&gt;=0.7*I35,"Underpriced","Money loser")))</f>
        <v/>
      </c>
    </row>
    <row r="36">
      <c r="A36" s="12" t="n"/>
      <c r="B36" s="12" t="n"/>
      <c r="C36" s="3" t="n"/>
      <c r="D36" s="12" t="n"/>
      <c r="E36" s="12" t="n"/>
      <c r="F36" s="3" t="n"/>
      <c r="G36" s="13">
        <f>IF(C36="","",C36-IF(F36="",0,F36))</f>
        <v/>
      </c>
      <c r="H36" s="13">
        <f>IF(OR(C36="",E36="",E36=0),"",G36/E36)</f>
        <v/>
      </c>
      <c r="I36" s="13">
        <f>IF(C36="","",'Rate Calculator'!$B$16)</f>
        <v/>
      </c>
      <c r="J36" s="13">
        <f>IF(OR(H36="",I36=""),"",H36-I36)</f>
        <v/>
      </c>
      <c r="K36">
        <f>IF(H36="","",IF(H36&gt;=I36,"On target",IF(H36&gt;=0.7*I36,"Underpriced","Money loser")))</f>
        <v/>
      </c>
    </row>
    <row r="37">
      <c r="A37" s="12" t="n"/>
      <c r="B37" s="12" t="n"/>
      <c r="C37" s="3" t="n"/>
      <c r="D37" s="12" t="n"/>
      <c r="E37" s="12" t="n"/>
      <c r="F37" s="3" t="n"/>
      <c r="G37" s="13">
        <f>IF(C37="","",C37-IF(F37="",0,F37))</f>
        <v/>
      </c>
      <c r="H37" s="13">
        <f>IF(OR(C37="",E37="",E37=0),"",G37/E37)</f>
        <v/>
      </c>
      <c r="I37" s="13">
        <f>IF(C37="","",'Rate Calculator'!$B$16)</f>
        <v/>
      </c>
      <c r="J37" s="13">
        <f>IF(OR(H37="",I37=""),"",H37-I37)</f>
        <v/>
      </c>
      <c r="K37">
        <f>IF(H37="","",IF(H37&gt;=I37,"On target",IF(H37&gt;=0.7*I37,"Underpriced","Money loser")))</f>
        <v/>
      </c>
    </row>
    <row r="38">
      <c r="A38" s="12" t="n"/>
      <c r="B38" s="12" t="n"/>
      <c r="C38" s="3" t="n"/>
      <c r="D38" s="12" t="n"/>
      <c r="E38" s="12" t="n"/>
      <c r="F38" s="3" t="n"/>
      <c r="G38" s="13">
        <f>IF(C38="","",C38-IF(F38="",0,F38))</f>
        <v/>
      </c>
      <c r="H38" s="13">
        <f>IF(OR(C38="",E38="",E38=0),"",G38/E38)</f>
        <v/>
      </c>
      <c r="I38" s="13">
        <f>IF(C38="","",'Rate Calculator'!$B$16)</f>
        <v/>
      </c>
      <c r="J38" s="13">
        <f>IF(OR(H38="",I38=""),"",H38-I38)</f>
        <v/>
      </c>
      <c r="K38">
        <f>IF(H38="","",IF(H38&gt;=I38,"On target",IF(H38&gt;=0.7*I38,"Underpriced","Money loser")))</f>
        <v/>
      </c>
    </row>
    <row r="39">
      <c r="A39" s="12" t="n"/>
      <c r="B39" s="12" t="n"/>
      <c r="C39" s="3" t="n"/>
      <c r="D39" s="12" t="n"/>
      <c r="E39" s="12" t="n"/>
      <c r="F39" s="3" t="n"/>
      <c r="G39" s="13">
        <f>IF(C39="","",C39-IF(F39="",0,F39))</f>
        <v/>
      </c>
      <c r="H39" s="13">
        <f>IF(OR(C39="",E39="",E39=0),"",G39/E39)</f>
        <v/>
      </c>
      <c r="I39" s="13">
        <f>IF(C39="","",'Rate Calculator'!$B$16)</f>
        <v/>
      </c>
      <c r="J39" s="13">
        <f>IF(OR(H39="",I39=""),"",H39-I39)</f>
        <v/>
      </c>
      <c r="K39">
        <f>IF(H39="","",IF(H39&gt;=I39,"On target",IF(H39&gt;=0.7*I39,"Underpriced","Money loser")))</f>
        <v/>
      </c>
    </row>
    <row r="40">
      <c r="A40" s="12" t="n"/>
      <c r="B40" s="12" t="n"/>
      <c r="C40" s="3" t="n"/>
      <c r="D40" s="12" t="n"/>
      <c r="E40" s="12" t="n"/>
      <c r="F40" s="3" t="n"/>
      <c r="G40" s="13">
        <f>IF(C40="","",C40-IF(F40="",0,F40))</f>
        <v/>
      </c>
      <c r="H40" s="13">
        <f>IF(OR(C40="",E40="",E40=0),"",G40/E40)</f>
        <v/>
      </c>
      <c r="I40" s="13">
        <f>IF(C40="","",'Rate Calculator'!$B$16)</f>
        <v/>
      </c>
      <c r="J40" s="13">
        <f>IF(OR(H40="",I40=""),"",H40-I40)</f>
        <v/>
      </c>
      <c r="K40">
        <f>IF(H40="","",IF(H40&gt;=I40,"On target",IF(H40&gt;=0.7*I40,"Underpriced","Money loser")))</f>
        <v/>
      </c>
    </row>
    <row r="41">
      <c r="A41" s="12" t="n"/>
      <c r="B41" s="12" t="n"/>
      <c r="C41" s="3" t="n"/>
      <c r="D41" s="12" t="n"/>
      <c r="E41" s="12" t="n"/>
      <c r="F41" s="3" t="n"/>
      <c r="G41" s="13">
        <f>IF(C41="","",C41-IF(F41="",0,F41))</f>
        <v/>
      </c>
      <c r="H41" s="13">
        <f>IF(OR(C41="",E41="",E41=0),"",G41/E41)</f>
        <v/>
      </c>
      <c r="I41" s="13">
        <f>IF(C41="","",'Rate Calculator'!$B$16)</f>
        <v/>
      </c>
      <c r="J41" s="13">
        <f>IF(OR(H41="",I41=""),"",H41-I41)</f>
        <v/>
      </c>
      <c r="K41">
        <f>IF(H41="","",IF(H41&gt;=I41,"On target",IF(H41&gt;=0.7*I41,"Underpriced","Money loser")))</f>
        <v/>
      </c>
    </row>
    <row r="42">
      <c r="A42" s="12" t="n"/>
      <c r="B42" s="12" t="n"/>
      <c r="C42" s="3" t="n"/>
      <c r="D42" s="12" t="n"/>
      <c r="E42" s="12" t="n"/>
      <c r="F42" s="3" t="n"/>
      <c r="G42" s="13">
        <f>IF(C42="","",C42-IF(F42="",0,F42))</f>
        <v/>
      </c>
      <c r="H42" s="13">
        <f>IF(OR(C42="",E42="",E42=0),"",G42/E42)</f>
        <v/>
      </c>
      <c r="I42" s="13">
        <f>IF(C42="","",'Rate Calculator'!$B$16)</f>
        <v/>
      </c>
      <c r="J42" s="13">
        <f>IF(OR(H42="",I42=""),"",H42-I42)</f>
        <v/>
      </c>
      <c r="K42">
        <f>IF(H42="","",IF(H42&gt;=I42,"On target",IF(H42&gt;=0.7*I42,"Underpriced","Money loser")))</f>
        <v/>
      </c>
    </row>
    <row r="43">
      <c r="A43" s="12" t="n"/>
      <c r="B43" s="12" t="n"/>
      <c r="C43" s="3" t="n"/>
      <c r="D43" s="12" t="n"/>
      <c r="E43" s="12" t="n"/>
      <c r="F43" s="3" t="n"/>
      <c r="G43" s="13">
        <f>IF(C43="","",C43-IF(F43="",0,F43))</f>
        <v/>
      </c>
      <c r="H43" s="13">
        <f>IF(OR(C43="",E43="",E43=0),"",G43/E43)</f>
        <v/>
      </c>
      <c r="I43" s="13">
        <f>IF(C43="","",'Rate Calculator'!$B$16)</f>
        <v/>
      </c>
      <c r="J43" s="13">
        <f>IF(OR(H43="",I43=""),"",H43-I43)</f>
        <v/>
      </c>
      <c r="K43">
        <f>IF(H43="","",IF(H43&gt;=I43,"On target",IF(H43&gt;=0.7*I43,"Underpriced","Money loser")))</f>
        <v/>
      </c>
    </row>
    <row r="44">
      <c r="A44" s="12" t="n"/>
      <c r="B44" s="12" t="n"/>
      <c r="C44" s="3" t="n"/>
      <c r="D44" s="12" t="n"/>
      <c r="E44" s="12" t="n"/>
      <c r="F44" s="3" t="n"/>
      <c r="G44" s="13">
        <f>IF(C44="","",C44-IF(F44="",0,F44))</f>
        <v/>
      </c>
      <c r="H44" s="13">
        <f>IF(OR(C44="",E44="",E44=0),"",G44/E44)</f>
        <v/>
      </c>
      <c r="I44" s="13">
        <f>IF(C44="","",'Rate Calculator'!$B$16)</f>
        <v/>
      </c>
      <c r="J44" s="13">
        <f>IF(OR(H44="",I44=""),"",H44-I44)</f>
        <v/>
      </c>
      <c r="K44">
        <f>IF(H44="","",IF(H44&gt;=I44,"On target",IF(H44&gt;=0.7*I44,"Underpriced","Money loser")))</f>
        <v/>
      </c>
    </row>
    <row r="45">
      <c r="A45" s="12" t="n"/>
      <c r="B45" s="12" t="n"/>
      <c r="C45" s="3" t="n"/>
      <c r="D45" s="12" t="n"/>
      <c r="E45" s="12" t="n"/>
      <c r="F45" s="3" t="n"/>
      <c r="G45" s="13">
        <f>IF(C45="","",C45-IF(F45="",0,F45))</f>
        <v/>
      </c>
      <c r="H45" s="13">
        <f>IF(OR(C45="",E45="",E45=0),"",G45/E45)</f>
        <v/>
      </c>
      <c r="I45" s="13">
        <f>IF(C45="","",'Rate Calculator'!$B$16)</f>
        <v/>
      </c>
      <c r="J45" s="13">
        <f>IF(OR(H45="",I45=""),"",H45-I45)</f>
        <v/>
      </c>
      <c r="K45">
        <f>IF(H45="","",IF(H45&gt;=I45,"On target",IF(H45&gt;=0.7*I45,"Underpriced","Money loser")))</f>
        <v/>
      </c>
    </row>
    <row r="46">
      <c r="A46" s="12" t="n"/>
      <c r="B46" s="12" t="n"/>
      <c r="C46" s="3" t="n"/>
      <c r="D46" s="12" t="n"/>
      <c r="E46" s="12" t="n"/>
      <c r="F46" s="3" t="n"/>
      <c r="G46" s="13">
        <f>IF(C46="","",C46-IF(F46="",0,F46))</f>
        <v/>
      </c>
      <c r="H46" s="13">
        <f>IF(OR(C46="",E46="",E46=0),"",G46/E46)</f>
        <v/>
      </c>
      <c r="I46" s="13">
        <f>IF(C46="","",'Rate Calculator'!$B$16)</f>
        <v/>
      </c>
      <c r="J46" s="13">
        <f>IF(OR(H46="",I46=""),"",H46-I46)</f>
        <v/>
      </c>
      <c r="K46">
        <f>IF(H46="","",IF(H46&gt;=I46,"On target",IF(H46&gt;=0.7*I46,"Underpriced","Money loser")))</f>
        <v/>
      </c>
    </row>
    <row r="47">
      <c r="A47" s="12" t="n"/>
      <c r="B47" s="12" t="n"/>
      <c r="C47" s="3" t="n"/>
      <c r="D47" s="12" t="n"/>
      <c r="E47" s="12" t="n"/>
      <c r="F47" s="3" t="n"/>
      <c r="G47" s="13">
        <f>IF(C47="","",C47-IF(F47="",0,F47))</f>
        <v/>
      </c>
      <c r="H47" s="13">
        <f>IF(OR(C47="",E47="",E47=0),"",G47/E47)</f>
        <v/>
      </c>
      <c r="I47" s="13">
        <f>IF(C47="","",'Rate Calculator'!$B$16)</f>
        <v/>
      </c>
      <c r="J47" s="13">
        <f>IF(OR(H47="",I47=""),"",H47-I47)</f>
        <v/>
      </c>
      <c r="K47">
        <f>IF(H47="","",IF(H47&gt;=I47,"On target",IF(H47&gt;=0.7*I47,"Underpriced","Money loser")))</f>
        <v/>
      </c>
    </row>
    <row r="48">
      <c r="A48" s="12" t="n"/>
      <c r="B48" s="12" t="n"/>
      <c r="C48" s="3" t="n"/>
      <c r="D48" s="12" t="n"/>
      <c r="E48" s="12" t="n"/>
      <c r="F48" s="3" t="n"/>
      <c r="G48" s="13">
        <f>IF(C48="","",C48-IF(F48="",0,F48))</f>
        <v/>
      </c>
      <c r="H48" s="13">
        <f>IF(OR(C48="",E48="",E48=0),"",G48/E48)</f>
        <v/>
      </c>
      <c r="I48" s="13">
        <f>IF(C48="","",'Rate Calculator'!$B$16)</f>
        <v/>
      </c>
      <c r="J48" s="13">
        <f>IF(OR(H48="",I48=""),"",H48-I48)</f>
        <v/>
      </c>
      <c r="K48">
        <f>IF(H48="","",IF(H48&gt;=I48,"On target",IF(H48&gt;=0.7*I48,"Underpriced","Money loser")))</f>
        <v/>
      </c>
    </row>
    <row r="49">
      <c r="A49" s="12" t="n"/>
      <c r="B49" s="12" t="n"/>
      <c r="C49" s="3" t="n"/>
      <c r="D49" s="12" t="n"/>
      <c r="E49" s="12" t="n"/>
      <c r="F49" s="3" t="n"/>
      <c r="G49" s="13">
        <f>IF(C49="","",C49-IF(F49="",0,F49))</f>
        <v/>
      </c>
      <c r="H49" s="13">
        <f>IF(OR(C49="",E49="",E49=0),"",G49/E49)</f>
        <v/>
      </c>
      <c r="I49" s="13">
        <f>IF(C49="","",'Rate Calculator'!$B$16)</f>
        <v/>
      </c>
      <c r="J49" s="13">
        <f>IF(OR(H49="",I49=""),"",H49-I49)</f>
        <v/>
      </c>
      <c r="K49">
        <f>IF(H49="","",IF(H49&gt;=I49,"On target",IF(H49&gt;=0.7*I49,"Underpriced","Money loser")))</f>
        <v/>
      </c>
    </row>
    <row r="50">
      <c r="A50" s="12" t="n"/>
      <c r="B50" s="12" t="n"/>
      <c r="C50" s="3" t="n"/>
      <c r="D50" s="12" t="n"/>
      <c r="E50" s="12" t="n"/>
      <c r="F50" s="3" t="n"/>
      <c r="G50" s="13">
        <f>IF(C50="","",C50-IF(F50="",0,F50))</f>
        <v/>
      </c>
      <c r="H50" s="13">
        <f>IF(OR(C50="",E50="",E50=0),"",G50/E50)</f>
        <v/>
      </c>
      <c r="I50" s="13">
        <f>IF(C50="","",'Rate Calculator'!$B$16)</f>
        <v/>
      </c>
      <c r="J50" s="13">
        <f>IF(OR(H50="",I50=""),"",H50-I50)</f>
        <v/>
      </c>
      <c r="K50">
        <f>IF(H50="","",IF(H50&gt;=I50,"On target",IF(H50&gt;=0.7*I50,"Underpriced","Money loser")))</f>
        <v/>
      </c>
    </row>
    <row r="51">
      <c r="A51" s="12" t="n"/>
      <c r="B51" s="12" t="n"/>
      <c r="C51" s="3" t="n"/>
      <c r="D51" s="12" t="n"/>
      <c r="E51" s="12" t="n"/>
      <c r="F51" s="3" t="n"/>
      <c r="G51" s="13">
        <f>IF(C51="","",C51-IF(F51="",0,F51))</f>
        <v/>
      </c>
      <c r="H51" s="13">
        <f>IF(OR(C51="",E51="",E51=0),"",G51/E51)</f>
        <v/>
      </c>
      <c r="I51" s="13">
        <f>IF(C51="","",'Rate Calculator'!$B$16)</f>
        <v/>
      </c>
      <c r="J51" s="13">
        <f>IF(OR(H51="",I51=""),"",H51-I51)</f>
        <v/>
      </c>
      <c r="K51">
        <f>IF(H51="","",IF(H51&gt;=I51,"On target",IF(H51&gt;=0.7*I51,"Underpriced","Money loser")))</f>
        <v/>
      </c>
    </row>
    <row r="52">
      <c r="A52" s="12" t="n"/>
      <c r="B52" s="12" t="n"/>
      <c r="C52" s="3" t="n"/>
      <c r="D52" s="12" t="n"/>
      <c r="E52" s="12" t="n"/>
      <c r="F52" s="3" t="n"/>
      <c r="G52" s="13">
        <f>IF(C52="","",C52-IF(F52="",0,F52))</f>
        <v/>
      </c>
      <c r="H52" s="13">
        <f>IF(OR(C52="",E52="",E52=0),"",G52/E52)</f>
        <v/>
      </c>
      <c r="I52" s="13">
        <f>IF(C52="","",'Rate Calculator'!$B$16)</f>
        <v/>
      </c>
      <c r="J52" s="13">
        <f>IF(OR(H52="",I52=""),"",H52-I52)</f>
        <v/>
      </c>
      <c r="K52">
        <f>IF(H52="","",IF(H52&gt;=I52,"On target",IF(H52&gt;=0.7*I52,"Underpriced","Money loser")))</f>
        <v/>
      </c>
    </row>
    <row r="53">
      <c r="A53" s="12" t="n"/>
      <c r="B53" s="12" t="n"/>
      <c r="C53" s="3" t="n"/>
      <c r="D53" s="12" t="n"/>
      <c r="E53" s="12" t="n"/>
      <c r="F53" s="3" t="n"/>
      <c r="G53" s="13">
        <f>IF(C53="","",C53-IF(F53="",0,F53))</f>
        <v/>
      </c>
      <c r="H53" s="13">
        <f>IF(OR(C53="",E53="",E53=0),"",G53/E53)</f>
        <v/>
      </c>
      <c r="I53" s="13">
        <f>IF(C53="","",'Rate Calculator'!$B$16)</f>
        <v/>
      </c>
      <c r="J53" s="13">
        <f>IF(OR(H53="",I53=""),"",H53-I53)</f>
        <v/>
      </c>
      <c r="K53">
        <f>IF(H53="","",IF(H53&gt;=I53,"On target",IF(H53&gt;=0.7*I53,"Underpriced","Money loser")))</f>
        <v/>
      </c>
    </row>
    <row r="54">
      <c r="A54" s="12" t="n"/>
      <c r="B54" s="12" t="n"/>
      <c r="C54" s="3" t="n"/>
      <c r="D54" s="12" t="n"/>
      <c r="E54" s="12" t="n"/>
      <c r="F54" s="3" t="n"/>
      <c r="G54" s="13">
        <f>IF(C54="","",C54-IF(F54="",0,F54))</f>
        <v/>
      </c>
      <c r="H54" s="13">
        <f>IF(OR(C54="",E54="",E54=0),"",G54/E54)</f>
        <v/>
      </c>
      <c r="I54" s="13">
        <f>IF(C54="","",'Rate Calculator'!$B$16)</f>
        <v/>
      </c>
      <c r="J54" s="13">
        <f>IF(OR(H54="",I54=""),"",H54-I54)</f>
        <v/>
      </c>
      <c r="K54">
        <f>IF(H54="","",IF(H54&gt;=I54,"On target",IF(H54&gt;=0.7*I54,"Underpriced","Money loser")))</f>
        <v/>
      </c>
    </row>
    <row r="55">
      <c r="A55" s="12" t="n"/>
      <c r="B55" s="12" t="n"/>
      <c r="C55" s="3" t="n"/>
      <c r="D55" s="12" t="n"/>
      <c r="E55" s="12" t="n"/>
      <c r="F55" s="3" t="n"/>
      <c r="G55" s="13">
        <f>IF(C55="","",C55-IF(F55="",0,F55))</f>
        <v/>
      </c>
      <c r="H55" s="13">
        <f>IF(OR(C55="",E55="",E55=0),"",G55/E55)</f>
        <v/>
      </c>
      <c r="I55" s="13">
        <f>IF(C55="","",'Rate Calculator'!$B$16)</f>
        <v/>
      </c>
      <c r="J55" s="13">
        <f>IF(OR(H55="",I55=""),"",H55-I55)</f>
        <v/>
      </c>
      <c r="K55">
        <f>IF(H55="","",IF(H55&gt;=I55,"On target",IF(H55&gt;=0.7*I55,"Underpriced","Money loser")))</f>
        <v/>
      </c>
    </row>
    <row r="56">
      <c r="A56" s="12" t="n"/>
      <c r="B56" s="12" t="n"/>
      <c r="C56" s="3" t="n"/>
      <c r="D56" s="12" t="n"/>
      <c r="E56" s="12" t="n"/>
      <c r="F56" s="3" t="n"/>
      <c r="G56" s="13">
        <f>IF(C56="","",C56-IF(F56="",0,F56))</f>
        <v/>
      </c>
      <c r="H56" s="13">
        <f>IF(OR(C56="",E56="",E56=0),"",G56/E56)</f>
        <v/>
      </c>
      <c r="I56" s="13">
        <f>IF(C56="","",'Rate Calculator'!$B$16)</f>
        <v/>
      </c>
      <c r="J56" s="13">
        <f>IF(OR(H56="",I56=""),"",H56-I56)</f>
        <v/>
      </c>
      <c r="K56">
        <f>IF(H56="","",IF(H56&gt;=I56,"On target",IF(H56&gt;=0.7*I56,"Underpriced","Money loser")))</f>
        <v/>
      </c>
    </row>
    <row r="57">
      <c r="A57" s="12" t="n"/>
      <c r="B57" s="12" t="n"/>
      <c r="C57" s="3" t="n"/>
      <c r="D57" s="12" t="n"/>
      <c r="E57" s="12" t="n"/>
      <c r="F57" s="3" t="n"/>
      <c r="G57" s="13">
        <f>IF(C57="","",C57-IF(F57="",0,F57))</f>
        <v/>
      </c>
      <c r="H57" s="13">
        <f>IF(OR(C57="",E57="",E57=0),"",G57/E57)</f>
        <v/>
      </c>
      <c r="I57" s="13">
        <f>IF(C57="","",'Rate Calculator'!$B$16)</f>
        <v/>
      </c>
      <c r="J57" s="13">
        <f>IF(OR(H57="",I57=""),"",H57-I57)</f>
        <v/>
      </c>
      <c r="K57">
        <f>IF(H57="","",IF(H57&gt;=I57,"On target",IF(H57&gt;=0.7*I57,"Underpriced","Money loser")))</f>
        <v/>
      </c>
    </row>
    <row r="58">
      <c r="A58" s="12" t="n"/>
      <c r="B58" s="12" t="n"/>
      <c r="C58" s="3" t="n"/>
      <c r="D58" s="12" t="n"/>
      <c r="E58" s="12" t="n"/>
      <c r="F58" s="3" t="n"/>
      <c r="G58" s="13">
        <f>IF(C58="","",C58-IF(F58="",0,F58))</f>
        <v/>
      </c>
      <c r="H58" s="13">
        <f>IF(OR(C58="",E58="",E58=0),"",G58/E58)</f>
        <v/>
      </c>
      <c r="I58" s="13">
        <f>IF(C58="","",'Rate Calculator'!$B$16)</f>
        <v/>
      </c>
      <c r="J58" s="13">
        <f>IF(OR(H58="",I58=""),"",H58-I58)</f>
        <v/>
      </c>
      <c r="K58">
        <f>IF(H58="","",IF(H58&gt;=I58,"On target",IF(H58&gt;=0.7*I58,"Underpriced","Money loser")))</f>
        <v/>
      </c>
    </row>
    <row r="59">
      <c r="A59" s="12" t="n"/>
      <c r="B59" s="12" t="n"/>
      <c r="C59" s="3" t="n"/>
      <c r="D59" s="12" t="n"/>
      <c r="E59" s="12" t="n"/>
      <c r="F59" s="3" t="n"/>
      <c r="G59" s="13">
        <f>IF(C59="","",C59-IF(F59="",0,F59))</f>
        <v/>
      </c>
      <c r="H59" s="13">
        <f>IF(OR(C59="",E59="",E59=0),"",G59/E59)</f>
        <v/>
      </c>
      <c r="I59" s="13">
        <f>IF(C59="","",'Rate Calculator'!$B$16)</f>
        <v/>
      </c>
      <c r="J59" s="13">
        <f>IF(OR(H59="",I59=""),"",H59-I59)</f>
        <v/>
      </c>
      <c r="K59">
        <f>IF(H59="","",IF(H59&gt;=I59,"On target",IF(H59&gt;=0.7*I59,"Underpriced","Money loser")))</f>
        <v/>
      </c>
    </row>
    <row r="60">
      <c r="A60" s="12" t="n"/>
      <c r="B60" s="12" t="n"/>
      <c r="C60" s="3" t="n"/>
      <c r="D60" s="12" t="n"/>
      <c r="E60" s="12" t="n"/>
      <c r="F60" s="3" t="n"/>
      <c r="G60" s="13">
        <f>IF(C60="","",C60-IF(F60="",0,F60))</f>
        <v/>
      </c>
      <c r="H60" s="13">
        <f>IF(OR(C60="",E60="",E60=0),"",G60/E60)</f>
        <v/>
      </c>
      <c r="I60" s="13">
        <f>IF(C60="","",'Rate Calculator'!$B$16)</f>
        <v/>
      </c>
      <c r="J60" s="13">
        <f>IF(OR(H60="",I60=""),"",H60-I60)</f>
        <v/>
      </c>
      <c r="K60">
        <f>IF(H60="","",IF(H60&gt;=I60,"On target",IF(H60&gt;=0.7*I60,"Underpriced","Money loser")))</f>
        <v/>
      </c>
    </row>
    <row r="61">
      <c r="A61" s="12" t="n"/>
      <c r="B61" s="12" t="n"/>
      <c r="C61" s="3" t="n"/>
      <c r="D61" s="12" t="n"/>
      <c r="E61" s="12" t="n"/>
      <c r="F61" s="3" t="n"/>
      <c r="G61" s="13">
        <f>IF(C61="","",C61-IF(F61="",0,F61))</f>
        <v/>
      </c>
      <c r="H61" s="13">
        <f>IF(OR(C61="",E61="",E61=0),"",G61/E61)</f>
        <v/>
      </c>
      <c r="I61" s="13">
        <f>IF(C61="","",'Rate Calculator'!$B$16)</f>
        <v/>
      </c>
      <c r="J61" s="13">
        <f>IF(OR(H61="",I61=""),"",H61-I61)</f>
        <v/>
      </c>
      <c r="K61">
        <f>IF(H61="","",IF(H61&gt;=I61,"On target",IF(H61&gt;=0.7*I61,"Underpriced","Money loser")))</f>
        <v/>
      </c>
    </row>
    <row r="62">
      <c r="A62" s="12" t="n"/>
      <c r="B62" s="12" t="n"/>
      <c r="C62" s="3" t="n"/>
      <c r="D62" s="12" t="n"/>
      <c r="E62" s="12" t="n"/>
      <c r="F62" s="3" t="n"/>
      <c r="G62" s="13">
        <f>IF(C62="","",C62-IF(F62="",0,F62))</f>
        <v/>
      </c>
      <c r="H62" s="13">
        <f>IF(OR(C62="",E62="",E62=0),"",G62/E62)</f>
        <v/>
      </c>
      <c r="I62" s="13">
        <f>IF(C62="","",'Rate Calculator'!$B$16)</f>
        <v/>
      </c>
      <c r="J62" s="13">
        <f>IF(OR(H62="",I62=""),"",H62-I62)</f>
        <v/>
      </c>
      <c r="K62">
        <f>IF(H62="","",IF(H62&gt;=I62,"On target",IF(H62&gt;=0.7*I62,"Underpriced","Money loser")))</f>
        <v/>
      </c>
    </row>
    <row r="63">
      <c r="A63" s="12" t="n"/>
      <c r="B63" s="12" t="n"/>
      <c r="C63" s="3" t="n"/>
      <c r="D63" s="12" t="n"/>
      <c r="E63" s="12" t="n"/>
      <c r="F63" s="3" t="n"/>
      <c r="G63" s="13">
        <f>IF(C63="","",C63-IF(F63="",0,F63))</f>
        <v/>
      </c>
      <c r="H63" s="13">
        <f>IF(OR(C63="",E63="",E63=0),"",G63/E63)</f>
        <v/>
      </c>
      <c r="I63" s="13">
        <f>IF(C63="","",'Rate Calculator'!$B$16)</f>
        <v/>
      </c>
      <c r="J63" s="13">
        <f>IF(OR(H63="",I63=""),"",H63-I63)</f>
        <v/>
      </c>
      <c r="K63">
        <f>IF(H63="","",IF(H63&gt;=I63,"On target",IF(H63&gt;=0.7*I63,"Underpriced","Money loser")))</f>
        <v/>
      </c>
    </row>
    <row r="64">
      <c r="A64" s="12" t="n"/>
      <c r="B64" s="12" t="n"/>
      <c r="C64" s="3" t="n"/>
      <c r="D64" s="12" t="n"/>
      <c r="E64" s="12" t="n"/>
      <c r="F64" s="3" t="n"/>
      <c r="G64" s="13">
        <f>IF(C64="","",C64-IF(F64="",0,F64))</f>
        <v/>
      </c>
      <c r="H64" s="13">
        <f>IF(OR(C64="",E64="",E64=0),"",G64/E64)</f>
        <v/>
      </c>
      <c r="I64" s="13">
        <f>IF(C64="","",'Rate Calculator'!$B$16)</f>
        <v/>
      </c>
      <c r="J64" s="13">
        <f>IF(OR(H64="",I64=""),"",H64-I64)</f>
        <v/>
      </c>
      <c r="K64">
        <f>IF(H64="","",IF(H64&gt;=I64,"On target",IF(H64&gt;=0.7*I64,"Underpriced","Money loser")))</f>
        <v/>
      </c>
    </row>
    <row r="65">
      <c r="A65" s="12" t="n"/>
      <c r="B65" s="12" t="n"/>
      <c r="C65" s="3" t="n"/>
      <c r="D65" s="12" t="n"/>
      <c r="E65" s="12" t="n"/>
      <c r="F65" s="3" t="n"/>
      <c r="G65" s="13">
        <f>IF(C65="","",C65-IF(F65="",0,F65))</f>
        <v/>
      </c>
      <c r="H65" s="13">
        <f>IF(OR(C65="",E65="",E65=0),"",G65/E65)</f>
        <v/>
      </c>
      <c r="I65" s="13">
        <f>IF(C65="","",'Rate Calculator'!$B$16)</f>
        <v/>
      </c>
      <c r="J65" s="13">
        <f>IF(OR(H65="",I65=""),"",H65-I65)</f>
        <v/>
      </c>
      <c r="K65">
        <f>IF(H65="","",IF(H65&gt;=I65,"On target",IF(H65&gt;=0.7*I65,"Underpriced","Money loser")))</f>
        <v/>
      </c>
    </row>
    <row r="66">
      <c r="A66" s="12" t="n"/>
      <c r="B66" s="12" t="n"/>
      <c r="C66" s="3" t="n"/>
      <c r="D66" s="12" t="n"/>
      <c r="E66" s="12" t="n"/>
      <c r="F66" s="3" t="n"/>
      <c r="G66" s="13">
        <f>IF(C66="","",C66-IF(F66="",0,F66))</f>
        <v/>
      </c>
      <c r="H66" s="13">
        <f>IF(OR(C66="",E66="",E66=0),"",G66/E66)</f>
        <v/>
      </c>
      <c r="I66" s="13">
        <f>IF(C66="","",'Rate Calculator'!$B$16)</f>
        <v/>
      </c>
      <c r="J66" s="13">
        <f>IF(OR(H66="",I66=""),"",H66-I66)</f>
        <v/>
      </c>
      <c r="K66">
        <f>IF(H66="","",IF(H66&gt;=I66,"On target",IF(H66&gt;=0.7*I66,"Underpriced","Money loser")))</f>
        <v/>
      </c>
    </row>
    <row r="67">
      <c r="A67" s="12" t="n"/>
      <c r="B67" s="12" t="n"/>
      <c r="C67" s="3" t="n"/>
      <c r="D67" s="12" t="n"/>
      <c r="E67" s="12" t="n"/>
      <c r="F67" s="3" t="n"/>
      <c r="G67" s="13">
        <f>IF(C67="","",C67-IF(F67="",0,F67))</f>
        <v/>
      </c>
      <c r="H67" s="13">
        <f>IF(OR(C67="",E67="",E67=0),"",G67/E67)</f>
        <v/>
      </c>
      <c r="I67" s="13">
        <f>IF(C67="","",'Rate Calculator'!$B$16)</f>
        <v/>
      </c>
      <c r="J67" s="13">
        <f>IF(OR(H67="",I67=""),"",H67-I67)</f>
        <v/>
      </c>
      <c r="K67">
        <f>IF(H67="","",IF(H67&gt;=I67,"On target",IF(H67&gt;=0.7*I67,"Underpriced","Money loser")))</f>
        <v/>
      </c>
    </row>
    <row r="68">
      <c r="A68" s="12" t="n"/>
      <c r="B68" s="12" t="n"/>
      <c r="C68" s="3" t="n"/>
      <c r="D68" s="12" t="n"/>
      <c r="E68" s="12" t="n"/>
      <c r="F68" s="3" t="n"/>
      <c r="G68" s="13">
        <f>IF(C68="","",C68-IF(F68="",0,F68))</f>
        <v/>
      </c>
      <c r="H68" s="13">
        <f>IF(OR(C68="",E68="",E68=0),"",G68/E68)</f>
        <v/>
      </c>
      <c r="I68" s="13">
        <f>IF(C68="","",'Rate Calculator'!$B$16)</f>
        <v/>
      </c>
      <c r="J68" s="13">
        <f>IF(OR(H68="",I68=""),"",H68-I68)</f>
        <v/>
      </c>
      <c r="K68">
        <f>IF(H68="","",IF(H68&gt;=I68,"On target",IF(H68&gt;=0.7*I68,"Underpriced","Money loser")))</f>
        <v/>
      </c>
    </row>
    <row r="69">
      <c r="A69" s="12" t="n"/>
      <c r="B69" s="12" t="n"/>
      <c r="C69" s="3" t="n"/>
      <c r="D69" s="12" t="n"/>
      <c r="E69" s="12" t="n"/>
      <c r="F69" s="3" t="n"/>
      <c r="G69" s="13">
        <f>IF(C69="","",C69-IF(F69="",0,F69))</f>
        <v/>
      </c>
      <c r="H69" s="13">
        <f>IF(OR(C69="",E69="",E69=0),"",G69/E69)</f>
        <v/>
      </c>
      <c r="I69" s="13">
        <f>IF(C69="","",'Rate Calculator'!$B$16)</f>
        <v/>
      </c>
      <c r="J69" s="13">
        <f>IF(OR(H69="",I69=""),"",H69-I69)</f>
        <v/>
      </c>
      <c r="K69">
        <f>IF(H69="","",IF(H69&gt;=I69,"On target",IF(H69&gt;=0.7*I69,"Underpriced","Money loser")))</f>
        <v/>
      </c>
    </row>
    <row r="70">
      <c r="A70" s="12" t="n"/>
      <c r="B70" s="12" t="n"/>
      <c r="C70" s="3" t="n"/>
      <c r="D70" s="12" t="n"/>
      <c r="E70" s="12" t="n"/>
      <c r="F70" s="3" t="n"/>
      <c r="G70" s="13">
        <f>IF(C70="","",C70-IF(F70="",0,F70))</f>
        <v/>
      </c>
      <c r="H70" s="13">
        <f>IF(OR(C70="",E70="",E70=0),"",G70/E70)</f>
        <v/>
      </c>
      <c r="I70" s="13">
        <f>IF(C70="","",'Rate Calculator'!$B$16)</f>
        <v/>
      </c>
      <c r="J70" s="13">
        <f>IF(OR(H70="",I70=""),"",H70-I70)</f>
        <v/>
      </c>
      <c r="K70">
        <f>IF(H70="","",IF(H70&gt;=I70,"On target",IF(H70&gt;=0.7*I70,"Underpriced","Money loser")))</f>
        <v/>
      </c>
    </row>
    <row r="71">
      <c r="A71" s="12" t="n"/>
      <c r="B71" s="12" t="n"/>
      <c r="C71" s="3" t="n"/>
      <c r="D71" s="12" t="n"/>
      <c r="E71" s="12" t="n"/>
      <c r="F71" s="3" t="n"/>
      <c r="G71" s="13">
        <f>IF(C71="","",C71-IF(F71="",0,F71))</f>
        <v/>
      </c>
      <c r="H71" s="13">
        <f>IF(OR(C71="",E71="",E71=0),"",G71/E71)</f>
        <v/>
      </c>
      <c r="I71" s="13">
        <f>IF(C71="","",'Rate Calculator'!$B$16)</f>
        <v/>
      </c>
      <c r="J71" s="13">
        <f>IF(OR(H71="",I71=""),"",H71-I71)</f>
        <v/>
      </c>
      <c r="K71">
        <f>IF(H71="","",IF(H71&gt;=I71,"On target",IF(H71&gt;=0.7*I71,"Underpriced","Money loser")))</f>
        <v/>
      </c>
    </row>
    <row r="72">
      <c r="A72" s="12" t="n"/>
      <c r="B72" s="12" t="n"/>
      <c r="C72" s="3" t="n"/>
      <c r="D72" s="12" t="n"/>
      <c r="E72" s="12" t="n"/>
      <c r="F72" s="3" t="n"/>
      <c r="G72" s="13">
        <f>IF(C72="","",C72-IF(F72="",0,F72))</f>
        <v/>
      </c>
      <c r="H72" s="13">
        <f>IF(OR(C72="",E72="",E72=0),"",G72/E72)</f>
        <v/>
      </c>
      <c r="I72" s="13">
        <f>IF(C72="","",'Rate Calculator'!$B$16)</f>
        <v/>
      </c>
      <c r="J72" s="13">
        <f>IF(OR(H72="",I72=""),"",H72-I72)</f>
        <v/>
      </c>
      <c r="K72">
        <f>IF(H72="","",IF(H72&gt;=I72,"On target",IF(H72&gt;=0.7*I72,"Underpriced","Money loser")))</f>
        <v/>
      </c>
    </row>
    <row r="73">
      <c r="A73" s="12" t="n"/>
      <c r="B73" s="12" t="n"/>
      <c r="C73" s="3" t="n"/>
      <c r="D73" s="12" t="n"/>
      <c r="E73" s="12" t="n"/>
      <c r="F73" s="3" t="n"/>
      <c r="G73" s="13">
        <f>IF(C73="","",C73-IF(F73="",0,F73))</f>
        <v/>
      </c>
      <c r="H73" s="13">
        <f>IF(OR(C73="",E73="",E73=0),"",G73/E73)</f>
        <v/>
      </c>
      <c r="I73" s="13">
        <f>IF(C73="","",'Rate Calculator'!$B$16)</f>
        <v/>
      </c>
      <c r="J73" s="13">
        <f>IF(OR(H73="",I73=""),"",H73-I73)</f>
        <v/>
      </c>
      <c r="K73">
        <f>IF(H73="","",IF(H73&gt;=I73,"On target",IF(H73&gt;=0.7*I73,"Underpriced","Money loser")))</f>
        <v/>
      </c>
    </row>
    <row r="74">
      <c r="A74" s="12" t="n"/>
      <c r="B74" s="12" t="n"/>
      <c r="C74" s="3" t="n"/>
      <c r="D74" s="12" t="n"/>
      <c r="E74" s="12" t="n"/>
      <c r="F74" s="3" t="n"/>
      <c r="G74" s="13">
        <f>IF(C74="","",C74-IF(F74="",0,F74))</f>
        <v/>
      </c>
      <c r="H74" s="13">
        <f>IF(OR(C74="",E74="",E74=0),"",G74/E74)</f>
        <v/>
      </c>
      <c r="I74" s="13">
        <f>IF(C74="","",'Rate Calculator'!$B$16)</f>
        <v/>
      </c>
      <c r="J74" s="13">
        <f>IF(OR(H74="",I74=""),"",H74-I74)</f>
        <v/>
      </c>
      <c r="K74">
        <f>IF(H74="","",IF(H74&gt;=I74,"On target",IF(H74&gt;=0.7*I74,"Underpriced","Money loser")))</f>
        <v/>
      </c>
    </row>
    <row r="75">
      <c r="A75" s="12" t="n"/>
      <c r="B75" s="12" t="n"/>
      <c r="C75" s="3" t="n"/>
      <c r="D75" s="12" t="n"/>
      <c r="E75" s="12" t="n"/>
      <c r="F75" s="3" t="n"/>
      <c r="G75" s="13">
        <f>IF(C75="","",C75-IF(F75="",0,F75))</f>
        <v/>
      </c>
      <c r="H75" s="13">
        <f>IF(OR(C75="",E75="",E75=0),"",G75/E75)</f>
        <v/>
      </c>
      <c r="I75" s="13">
        <f>IF(C75="","",'Rate Calculator'!$B$16)</f>
        <v/>
      </c>
      <c r="J75" s="13">
        <f>IF(OR(H75="",I75=""),"",H75-I75)</f>
        <v/>
      </c>
      <c r="K75">
        <f>IF(H75="","",IF(H75&gt;=I75,"On target",IF(H75&gt;=0.7*I75,"Underpriced","Money loser")))</f>
        <v/>
      </c>
    </row>
    <row r="76">
      <c r="A76" s="12" t="n"/>
      <c r="B76" s="12" t="n"/>
      <c r="C76" s="3" t="n"/>
      <c r="D76" s="12" t="n"/>
      <c r="E76" s="12" t="n"/>
      <c r="F76" s="3" t="n"/>
      <c r="G76" s="13">
        <f>IF(C76="","",C76-IF(F76="",0,F76))</f>
        <v/>
      </c>
      <c r="H76" s="13">
        <f>IF(OR(C76="",E76="",E76=0),"",G76/E76)</f>
        <v/>
      </c>
      <c r="I76" s="13">
        <f>IF(C76="","",'Rate Calculator'!$B$16)</f>
        <v/>
      </c>
      <c r="J76" s="13">
        <f>IF(OR(H76="",I76=""),"",H76-I76)</f>
        <v/>
      </c>
      <c r="K76">
        <f>IF(H76="","",IF(H76&gt;=I76,"On target",IF(H76&gt;=0.7*I76,"Underpriced","Money loser")))</f>
        <v/>
      </c>
    </row>
    <row r="77">
      <c r="A77" s="12" t="n"/>
      <c r="B77" s="12" t="n"/>
      <c r="C77" s="3" t="n"/>
      <c r="D77" s="12" t="n"/>
      <c r="E77" s="12" t="n"/>
      <c r="F77" s="3" t="n"/>
      <c r="G77" s="13">
        <f>IF(C77="","",C77-IF(F77="",0,F77))</f>
        <v/>
      </c>
      <c r="H77" s="13">
        <f>IF(OR(C77="",E77="",E77=0),"",G77/E77)</f>
        <v/>
      </c>
      <c r="I77" s="13">
        <f>IF(C77="","",'Rate Calculator'!$B$16)</f>
        <v/>
      </c>
      <c r="J77" s="13">
        <f>IF(OR(H77="",I77=""),"",H77-I77)</f>
        <v/>
      </c>
      <c r="K77">
        <f>IF(H77="","",IF(H77&gt;=I77,"On target",IF(H77&gt;=0.7*I77,"Underpriced","Money loser")))</f>
        <v/>
      </c>
    </row>
    <row r="78">
      <c r="A78" s="12" t="n"/>
      <c r="B78" s="12" t="n"/>
      <c r="C78" s="3" t="n"/>
      <c r="D78" s="12" t="n"/>
      <c r="E78" s="12" t="n"/>
      <c r="F78" s="3" t="n"/>
      <c r="G78" s="13">
        <f>IF(C78="","",C78-IF(F78="",0,F78))</f>
        <v/>
      </c>
      <c r="H78" s="13">
        <f>IF(OR(C78="",E78="",E78=0),"",G78/E78)</f>
        <v/>
      </c>
      <c r="I78" s="13">
        <f>IF(C78="","",'Rate Calculator'!$B$16)</f>
        <v/>
      </c>
      <c r="J78" s="13">
        <f>IF(OR(H78="",I78=""),"",H78-I78)</f>
        <v/>
      </c>
      <c r="K78">
        <f>IF(H78="","",IF(H78&gt;=I78,"On target",IF(H78&gt;=0.7*I78,"Underpriced","Money loser")))</f>
        <v/>
      </c>
    </row>
    <row r="79">
      <c r="A79" s="12" t="n"/>
      <c r="B79" s="12" t="n"/>
      <c r="C79" s="3" t="n"/>
      <c r="D79" s="12" t="n"/>
      <c r="E79" s="12" t="n"/>
      <c r="F79" s="3" t="n"/>
      <c r="G79" s="13">
        <f>IF(C79="","",C79-IF(F79="",0,F79))</f>
        <v/>
      </c>
      <c r="H79" s="13">
        <f>IF(OR(C79="",E79="",E79=0),"",G79/E79)</f>
        <v/>
      </c>
      <c r="I79" s="13">
        <f>IF(C79="","",'Rate Calculator'!$B$16)</f>
        <v/>
      </c>
      <c r="J79" s="13">
        <f>IF(OR(H79="",I79=""),"",H79-I79)</f>
        <v/>
      </c>
      <c r="K79">
        <f>IF(H79="","",IF(H79&gt;=I79,"On target",IF(H79&gt;=0.7*I79,"Underpriced","Money loser")))</f>
        <v/>
      </c>
    </row>
    <row r="80">
      <c r="A80" s="12" t="n"/>
      <c r="B80" s="12" t="n"/>
      <c r="C80" s="3" t="n"/>
      <c r="D80" s="12" t="n"/>
      <c r="E80" s="12" t="n"/>
      <c r="F80" s="3" t="n"/>
      <c r="G80" s="13">
        <f>IF(C80="","",C80-IF(F80="",0,F80))</f>
        <v/>
      </c>
      <c r="H80" s="13">
        <f>IF(OR(C80="",E80="",E80=0),"",G80/E80)</f>
        <v/>
      </c>
      <c r="I80" s="13">
        <f>IF(C80="","",'Rate Calculator'!$B$16)</f>
        <v/>
      </c>
      <c r="J80" s="13">
        <f>IF(OR(H80="",I80=""),"",H80-I80)</f>
        <v/>
      </c>
      <c r="K80">
        <f>IF(H80="","",IF(H80&gt;=I80,"On target",IF(H80&gt;=0.7*I80,"Underpriced","Money loser")))</f>
        <v/>
      </c>
    </row>
    <row r="81">
      <c r="A81" s="12" t="n"/>
      <c r="B81" s="12" t="n"/>
      <c r="C81" s="3" t="n"/>
      <c r="D81" s="12" t="n"/>
      <c r="E81" s="12" t="n"/>
      <c r="F81" s="3" t="n"/>
      <c r="G81" s="13">
        <f>IF(C81="","",C81-IF(F81="",0,F81))</f>
        <v/>
      </c>
      <c r="H81" s="13">
        <f>IF(OR(C81="",E81="",E81=0),"",G81/E81)</f>
        <v/>
      </c>
      <c r="I81" s="13">
        <f>IF(C81="","",'Rate Calculator'!$B$16)</f>
        <v/>
      </c>
      <c r="J81" s="13">
        <f>IF(OR(H81="",I81=""),"",H81-I81)</f>
        <v/>
      </c>
      <c r="K81">
        <f>IF(H81="","",IF(H81&gt;=I81,"On target",IF(H81&gt;=0.7*I81,"Underpriced","Money loser")))</f>
        <v/>
      </c>
    </row>
    <row r="82">
      <c r="A82" s="12" t="n"/>
      <c r="B82" s="12" t="n"/>
      <c r="C82" s="3" t="n"/>
      <c r="D82" s="12" t="n"/>
      <c r="E82" s="12" t="n"/>
      <c r="F82" s="3" t="n"/>
      <c r="G82" s="13">
        <f>IF(C82="","",C82-IF(F82="",0,F82))</f>
        <v/>
      </c>
      <c r="H82" s="13">
        <f>IF(OR(C82="",E82="",E82=0),"",G82/E82)</f>
        <v/>
      </c>
      <c r="I82" s="13">
        <f>IF(C82="","",'Rate Calculator'!$B$16)</f>
        <v/>
      </c>
      <c r="J82" s="13">
        <f>IF(OR(H82="",I82=""),"",H82-I82)</f>
        <v/>
      </c>
      <c r="K82">
        <f>IF(H82="","",IF(H82&gt;=I82,"On target",IF(H82&gt;=0.7*I82,"Underpriced","Money loser")))</f>
        <v/>
      </c>
    </row>
    <row r="83">
      <c r="A83" s="12" t="n"/>
      <c r="B83" s="12" t="n"/>
      <c r="C83" s="3" t="n"/>
      <c r="D83" s="12" t="n"/>
      <c r="E83" s="12" t="n"/>
      <c r="F83" s="3" t="n"/>
      <c r="G83" s="13">
        <f>IF(C83="","",C83-IF(F83="",0,F83))</f>
        <v/>
      </c>
      <c r="H83" s="13">
        <f>IF(OR(C83="",E83="",E83=0),"",G83/E83)</f>
        <v/>
      </c>
      <c r="I83" s="13">
        <f>IF(C83="","",'Rate Calculator'!$B$16)</f>
        <v/>
      </c>
      <c r="J83" s="13">
        <f>IF(OR(H83="",I83=""),"",H83-I83)</f>
        <v/>
      </c>
      <c r="K83">
        <f>IF(H83="","",IF(H83&gt;=I83,"On target",IF(H83&gt;=0.7*I83,"Underpriced","Money loser")))</f>
        <v/>
      </c>
    </row>
    <row r="84">
      <c r="A84" s="12" t="n"/>
      <c r="B84" s="12" t="n"/>
      <c r="C84" s="3" t="n"/>
      <c r="D84" s="12" t="n"/>
      <c r="E84" s="12" t="n"/>
      <c r="F84" s="3" t="n"/>
      <c r="G84" s="13">
        <f>IF(C84="","",C84-IF(F84="",0,F84))</f>
        <v/>
      </c>
      <c r="H84" s="13">
        <f>IF(OR(C84="",E84="",E84=0),"",G84/E84)</f>
        <v/>
      </c>
      <c r="I84" s="13">
        <f>IF(C84="","",'Rate Calculator'!$B$16)</f>
        <v/>
      </c>
      <c r="J84" s="13">
        <f>IF(OR(H84="",I84=""),"",H84-I84)</f>
        <v/>
      </c>
      <c r="K84">
        <f>IF(H84="","",IF(H84&gt;=I84,"On target",IF(H84&gt;=0.7*I84,"Underpriced","Money loser")))</f>
        <v/>
      </c>
    </row>
    <row r="85">
      <c r="A85" s="12" t="n"/>
      <c r="B85" s="12" t="n"/>
      <c r="C85" s="3" t="n"/>
      <c r="D85" s="12" t="n"/>
      <c r="E85" s="12" t="n"/>
      <c r="F85" s="3" t="n"/>
      <c r="G85" s="13">
        <f>IF(C85="","",C85-IF(F85="",0,F85))</f>
        <v/>
      </c>
      <c r="H85" s="13">
        <f>IF(OR(C85="",E85="",E85=0),"",G85/E85)</f>
        <v/>
      </c>
      <c r="I85" s="13">
        <f>IF(C85="","",'Rate Calculator'!$B$16)</f>
        <v/>
      </c>
      <c r="J85" s="13">
        <f>IF(OR(H85="",I85=""),"",H85-I85)</f>
        <v/>
      </c>
      <c r="K85">
        <f>IF(H85="","",IF(H85&gt;=I85,"On target",IF(H85&gt;=0.7*I85,"Underpriced","Money loser")))</f>
        <v/>
      </c>
    </row>
    <row r="86">
      <c r="A86" s="12" t="n"/>
      <c r="B86" s="12" t="n"/>
      <c r="C86" s="3" t="n"/>
      <c r="D86" s="12" t="n"/>
      <c r="E86" s="12" t="n"/>
      <c r="F86" s="3" t="n"/>
      <c r="G86" s="13">
        <f>IF(C86="","",C86-IF(F86="",0,F86))</f>
        <v/>
      </c>
      <c r="H86" s="13">
        <f>IF(OR(C86="",E86="",E86=0),"",G86/E86)</f>
        <v/>
      </c>
      <c r="I86" s="13">
        <f>IF(C86="","",'Rate Calculator'!$B$16)</f>
        <v/>
      </c>
      <c r="J86" s="13">
        <f>IF(OR(H86="",I86=""),"",H86-I86)</f>
        <v/>
      </c>
      <c r="K86">
        <f>IF(H86="","",IF(H86&gt;=I86,"On target",IF(H86&gt;=0.7*I86,"Underpriced","Money loser")))</f>
        <v/>
      </c>
    </row>
    <row r="87">
      <c r="A87" s="12" t="n"/>
      <c r="B87" s="12" t="n"/>
      <c r="C87" s="3" t="n"/>
      <c r="D87" s="12" t="n"/>
      <c r="E87" s="12" t="n"/>
      <c r="F87" s="3" t="n"/>
      <c r="G87" s="13">
        <f>IF(C87="","",C87-IF(F87="",0,F87))</f>
        <v/>
      </c>
      <c r="H87" s="13">
        <f>IF(OR(C87="",E87="",E87=0),"",G87/E87)</f>
        <v/>
      </c>
      <c r="I87" s="13">
        <f>IF(C87="","",'Rate Calculator'!$B$16)</f>
        <v/>
      </c>
      <c r="J87" s="13">
        <f>IF(OR(H87="",I87=""),"",H87-I87)</f>
        <v/>
      </c>
      <c r="K87">
        <f>IF(H87="","",IF(H87&gt;=I87,"On target",IF(H87&gt;=0.7*I87,"Underpriced","Money loser")))</f>
        <v/>
      </c>
    </row>
    <row r="88">
      <c r="A88" s="12" t="n"/>
      <c r="B88" s="12" t="n"/>
      <c r="C88" s="3" t="n"/>
      <c r="D88" s="12" t="n"/>
      <c r="E88" s="12" t="n"/>
      <c r="F88" s="3" t="n"/>
      <c r="G88" s="13">
        <f>IF(C88="","",C88-IF(F88="",0,F88))</f>
        <v/>
      </c>
      <c r="H88" s="13">
        <f>IF(OR(C88="",E88="",E88=0),"",G88/E88)</f>
        <v/>
      </c>
      <c r="I88" s="13">
        <f>IF(C88="","",'Rate Calculator'!$B$16)</f>
        <v/>
      </c>
      <c r="J88" s="13">
        <f>IF(OR(H88="",I88=""),"",H88-I88)</f>
        <v/>
      </c>
      <c r="K88">
        <f>IF(H88="","",IF(H88&gt;=I88,"On target",IF(H88&gt;=0.7*I88,"Underpriced","Money loser")))</f>
        <v/>
      </c>
    </row>
    <row r="89">
      <c r="A89" s="12" t="n"/>
      <c r="B89" s="12" t="n"/>
      <c r="C89" s="3" t="n"/>
      <c r="D89" s="12" t="n"/>
      <c r="E89" s="12" t="n"/>
      <c r="F89" s="3" t="n"/>
      <c r="G89" s="13">
        <f>IF(C89="","",C89-IF(F89="",0,F89))</f>
        <v/>
      </c>
      <c r="H89" s="13">
        <f>IF(OR(C89="",E89="",E89=0),"",G89/E89)</f>
        <v/>
      </c>
      <c r="I89" s="13">
        <f>IF(C89="","",'Rate Calculator'!$B$16)</f>
        <v/>
      </c>
      <c r="J89" s="13">
        <f>IF(OR(H89="",I89=""),"",H89-I89)</f>
        <v/>
      </c>
      <c r="K89">
        <f>IF(H89="","",IF(H89&gt;=I89,"On target",IF(H89&gt;=0.7*I89,"Underpriced","Money loser")))</f>
        <v/>
      </c>
    </row>
    <row r="90">
      <c r="A90" s="12" t="n"/>
      <c r="B90" s="12" t="n"/>
      <c r="C90" s="3" t="n"/>
      <c r="D90" s="12" t="n"/>
      <c r="E90" s="12" t="n"/>
      <c r="F90" s="3" t="n"/>
      <c r="G90" s="13">
        <f>IF(C90="","",C90-IF(F90="",0,F90))</f>
        <v/>
      </c>
      <c r="H90" s="13">
        <f>IF(OR(C90="",E90="",E90=0),"",G90/E90)</f>
        <v/>
      </c>
      <c r="I90" s="13">
        <f>IF(C90="","",'Rate Calculator'!$B$16)</f>
        <v/>
      </c>
      <c r="J90" s="13">
        <f>IF(OR(H90="",I90=""),"",H90-I90)</f>
        <v/>
      </c>
      <c r="K90">
        <f>IF(H90="","",IF(H90&gt;=I90,"On target",IF(H90&gt;=0.7*I90,"Underpriced","Money loser")))</f>
        <v/>
      </c>
    </row>
    <row r="91">
      <c r="A91" s="12" t="n"/>
      <c r="B91" s="12" t="n"/>
      <c r="C91" s="3" t="n"/>
      <c r="D91" s="12" t="n"/>
      <c r="E91" s="12" t="n"/>
      <c r="F91" s="3" t="n"/>
      <c r="G91" s="13">
        <f>IF(C91="","",C91-IF(F91="",0,F91))</f>
        <v/>
      </c>
      <c r="H91" s="13">
        <f>IF(OR(C91="",E91="",E91=0),"",G91/E91)</f>
        <v/>
      </c>
      <c r="I91" s="13">
        <f>IF(C91="","",'Rate Calculator'!$B$16)</f>
        <v/>
      </c>
      <c r="J91" s="13">
        <f>IF(OR(H91="",I91=""),"",H91-I91)</f>
        <v/>
      </c>
      <c r="K91">
        <f>IF(H91="","",IF(H91&gt;=I91,"On target",IF(H91&gt;=0.7*I91,"Underpriced","Money loser")))</f>
        <v/>
      </c>
    </row>
    <row r="92">
      <c r="A92" s="12" t="n"/>
      <c r="B92" s="12" t="n"/>
      <c r="C92" s="3" t="n"/>
      <c r="D92" s="12" t="n"/>
      <c r="E92" s="12" t="n"/>
      <c r="F92" s="3" t="n"/>
      <c r="G92" s="13">
        <f>IF(C92="","",C92-IF(F92="",0,F92))</f>
        <v/>
      </c>
      <c r="H92" s="13">
        <f>IF(OR(C92="",E92="",E92=0),"",G92/E92)</f>
        <v/>
      </c>
      <c r="I92" s="13">
        <f>IF(C92="","",'Rate Calculator'!$B$16)</f>
        <v/>
      </c>
      <c r="J92" s="13">
        <f>IF(OR(H92="",I92=""),"",H92-I92)</f>
        <v/>
      </c>
      <c r="K92">
        <f>IF(H92="","",IF(H92&gt;=I92,"On target",IF(H92&gt;=0.7*I92,"Underpriced","Money loser")))</f>
        <v/>
      </c>
    </row>
    <row r="93">
      <c r="A93" s="12" t="n"/>
      <c r="B93" s="12" t="n"/>
      <c r="C93" s="3" t="n"/>
      <c r="D93" s="12" t="n"/>
      <c r="E93" s="12" t="n"/>
      <c r="F93" s="3" t="n"/>
      <c r="G93" s="13">
        <f>IF(C93="","",C93-IF(F93="",0,F93))</f>
        <v/>
      </c>
      <c r="H93" s="13">
        <f>IF(OR(C93="",E93="",E93=0),"",G93/E93)</f>
        <v/>
      </c>
      <c r="I93" s="13">
        <f>IF(C93="","",'Rate Calculator'!$B$16)</f>
        <v/>
      </c>
      <c r="J93" s="13">
        <f>IF(OR(H93="",I93=""),"",H93-I93)</f>
        <v/>
      </c>
      <c r="K93">
        <f>IF(H93="","",IF(H93&gt;=I93,"On target",IF(H93&gt;=0.7*I93,"Underpriced","Money loser")))</f>
        <v/>
      </c>
    </row>
    <row r="94">
      <c r="A94" s="12" t="n"/>
      <c r="B94" s="12" t="n"/>
      <c r="C94" s="3" t="n"/>
      <c r="D94" s="12" t="n"/>
      <c r="E94" s="12" t="n"/>
      <c r="F94" s="3" t="n"/>
      <c r="G94" s="13">
        <f>IF(C94="","",C94-IF(F94="",0,F94))</f>
        <v/>
      </c>
      <c r="H94" s="13">
        <f>IF(OR(C94="",E94="",E94=0),"",G94/E94)</f>
        <v/>
      </c>
      <c r="I94" s="13">
        <f>IF(C94="","",'Rate Calculator'!$B$16)</f>
        <v/>
      </c>
      <c r="J94" s="13">
        <f>IF(OR(H94="",I94=""),"",H94-I94)</f>
        <v/>
      </c>
      <c r="K94">
        <f>IF(H94="","",IF(H94&gt;=I94,"On target",IF(H94&gt;=0.7*I94,"Underpriced","Money loser")))</f>
        <v/>
      </c>
    </row>
    <row r="95">
      <c r="A95" s="12" t="n"/>
      <c r="B95" s="12" t="n"/>
      <c r="C95" s="3" t="n"/>
      <c r="D95" s="12" t="n"/>
      <c r="E95" s="12" t="n"/>
      <c r="F95" s="3" t="n"/>
      <c r="G95" s="13">
        <f>IF(C95="","",C95-IF(F95="",0,F95))</f>
        <v/>
      </c>
      <c r="H95" s="13">
        <f>IF(OR(C95="",E95="",E95=0),"",G95/E95)</f>
        <v/>
      </c>
      <c r="I95" s="13">
        <f>IF(C95="","",'Rate Calculator'!$B$16)</f>
        <v/>
      </c>
      <c r="J95" s="13">
        <f>IF(OR(H95="",I95=""),"",H95-I95)</f>
        <v/>
      </c>
      <c r="K95">
        <f>IF(H95="","",IF(H95&gt;=I95,"On target",IF(H95&gt;=0.7*I95,"Underpriced","Money loser")))</f>
        <v/>
      </c>
    </row>
    <row r="96">
      <c r="A96" s="12" t="n"/>
      <c r="B96" s="12" t="n"/>
      <c r="C96" s="3" t="n"/>
      <c r="D96" s="12" t="n"/>
      <c r="E96" s="12" t="n"/>
      <c r="F96" s="3" t="n"/>
      <c r="G96" s="13">
        <f>IF(C96="","",C96-IF(F96="",0,F96))</f>
        <v/>
      </c>
      <c r="H96" s="13">
        <f>IF(OR(C96="",E96="",E96=0),"",G96/E96)</f>
        <v/>
      </c>
      <c r="I96" s="13">
        <f>IF(C96="","",'Rate Calculator'!$B$16)</f>
        <v/>
      </c>
      <c r="J96" s="13">
        <f>IF(OR(H96="",I96=""),"",H96-I96)</f>
        <v/>
      </c>
      <c r="K96">
        <f>IF(H96="","",IF(H96&gt;=I96,"On target",IF(H96&gt;=0.7*I96,"Underpriced","Money loser")))</f>
        <v/>
      </c>
    </row>
    <row r="97">
      <c r="A97" s="12" t="n"/>
      <c r="B97" s="12" t="n"/>
      <c r="C97" s="3" t="n"/>
      <c r="D97" s="12" t="n"/>
      <c r="E97" s="12" t="n"/>
      <c r="F97" s="3" t="n"/>
      <c r="G97" s="13">
        <f>IF(C97="","",C97-IF(F97="",0,F97))</f>
        <v/>
      </c>
      <c r="H97" s="13">
        <f>IF(OR(C97="",E97="",E97=0),"",G97/E97)</f>
        <v/>
      </c>
      <c r="I97" s="13">
        <f>IF(C97="","",'Rate Calculator'!$B$16)</f>
        <v/>
      </c>
      <c r="J97" s="13">
        <f>IF(OR(H97="",I97=""),"",H97-I97)</f>
        <v/>
      </c>
      <c r="K97">
        <f>IF(H97="","",IF(H97&gt;=I97,"On target",IF(H97&gt;=0.7*I97,"Underpriced","Money loser")))</f>
        <v/>
      </c>
    </row>
    <row r="98">
      <c r="A98" s="12" t="n"/>
      <c r="B98" s="12" t="n"/>
      <c r="C98" s="3" t="n"/>
      <c r="D98" s="12" t="n"/>
      <c r="E98" s="12" t="n"/>
      <c r="F98" s="3" t="n"/>
      <c r="G98" s="13">
        <f>IF(C98="","",C98-IF(F98="",0,F98))</f>
        <v/>
      </c>
      <c r="H98" s="13">
        <f>IF(OR(C98="",E98="",E98=0),"",G98/E98)</f>
        <v/>
      </c>
      <c r="I98" s="13">
        <f>IF(C98="","",'Rate Calculator'!$B$16)</f>
        <v/>
      </c>
      <c r="J98" s="13">
        <f>IF(OR(H98="",I98=""),"",H98-I98)</f>
        <v/>
      </c>
      <c r="K98">
        <f>IF(H98="","",IF(H98&gt;=I98,"On target",IF(H98&gt;=0.7*I98,"Underpriced","Money loser")))</f>
        <v/>
      </c>
    </row>
    <row r="99">
      <c r="A99" s="12" t="n"/>
      <c r="B99" s="12" t="n"/>
      <c r="C99" s="3" t="n"/>
      <c r="D99" s="12" t="n"/>
      <c r="E99" s="12" t="n"/>
      <c r="F99" s="3" t="n"/>
      <c r="G99" s="13">
        <f>IF(C99="","",C99-IF(F99="",0,F99))</f>
        <v/>
      </c>
      <c r="H99" s="13">
        <f>IF(OR(C99="",E99="",E99=0),"",G99/E99)</f>
        <v/>
      </c>
      <c r="I99" s="13">
        <f>IF(C99="","",'Rate Calculator'!$B$16)</f>
        <v/>
      </c>
      <c r="J99" s="13">
        <f>IF(OR(H99="",I99=""),"",H99-I99)</f>
        <v/>
      </c>
      <c r="K99">
        <f>IF(H99="","",IF(H99&gt;=I99,"On target",IF(H99&gt;=0.7*I99,"Underpriced","Money loser")))</f>
        <v/>
      </c>
    </row>
    <row r="100">
      <c r="A100" s="12" t="n"/>
      <c r="B100" s="12" t="n"/>
      <c r="C100" s="3" t="n"/>
      <c r="D100" s="12" t="n"/>
      <c r="E100" s="12" t="n"/>
      <c r="F100" s="3" t="n"/>
      <c r="G100" s="13">
        <f>IF(C100="","",C100-IF(F100="",0,F100))</f>
        <v/>
      </c>
      <c r="H100" s="13">
        <f>IF(OR(C100="",E100="",E100=0),"",G100/E100)</f>
        <v/>
      </c>
      <c r="I100" s="13">
        <f>IF(C100="","",'Rate Calculator'!$B$16)</f>
        <v/>
      </c>
      <c r="J100" s="13">
        <f>IF(OR(H100="",I100=""),"",H100-I100)</f>
        <v/>
      </c>
      <c r="K100">
        <f>IF(H100="","",IF(H100&gt;=I100,"On target",IF(H100&gt;=0.7*I100,"Underpriced","Money loser")))</f>
        <v/>
      </c>
    </row>
    <row r="101">
      <c r="A101" s="12" t="n"/>
      <c r="B101" s="12" t="n"/>
      <c r="C101" s="3" t="n"/>
      <c r="D101" s="12" t="n"/>
      <c r="E101" s="12" t="n"/>
      <c r="F101" s="3" t="n"/>
      <c r="G101" s="13">
        <f>IF(C101="","",C101-IF(F101="",0,F101))</f>
        <v/>
      </c>
      <c r="H101" s="13">
        <f>IF(OR(C101="",E101="",E101=0),"",G101/E101)</f>
        <v/>
      </c>
      <c r="I101" s="13">
        <f>IF(C101="","",'Rate Calculator'!$B$16)</f>
        <v/>
      </c>
      <c r="J101" s="13">
        <f>IF(OR(H101="",I101=""),"",H101-I101)</f>
        <v/>
      </c>
      <c r="K101">
        <f>IF(H101="","",IF(H101&gt;=I101,"On target",IF(H101&gt;=0.7*I101,"Underpriced","Money loser")))</f>
        <v/>
      </c>
    </row>
    <row r="102">
      <c r="A102" s="12" t="n"/>
      <c r="B102" s="12" t="n"/>
      <c r="C102" s="3" t="n"/>
      <c r="D102" s="12" t="n"/>
      <c r="E102" s="12" t="n"/>
      <c r="F102" s="3" t="n"/>
      <c r="G102" s="13">
        <f>IF(C102="","",C102-IF(F102="",0,F102))</f>
        <v/>
      </c>
      <c r="H102" s="13">
        <f>IF(OR(C102="",E102="",E102=0),"",G102/E102)</f>
        <v/>
      </c>
      <c r="I102" s="13">
        <f>IF(C102="","",'Rate Calculator'!$B$16)</f>
        <v/>
      </c>
      <c r="J102" s="13">
        <f>IF(OR(H102="",I102=""),"",H102-I102)</f>
        <v/>
      </c>
      <c r="K102">
        <f>IF(H102="","",IF(H102&gt;=I102,"On target",IF(H102&gt;=0.7*I102,"Underpriced","Money loser")))</f>
        <v/>
      </c>
    </row>
    <row r="103">
      <c r="A103" s="12" t="n"/>
      <c r="B103" s="12" t="n"/>
      <c r="C103" s="3" t="n"/>
      <c r="D103" s="12" t="n"/>
      <c r="E103" s="12" t="n"/>
      <c r="F103" s="3" t="n"/>
      <c r="G103" s="13">
        <f>IF(C103="","",C103-IF(F103="",0,F103))</f>
        <v/>
      </c>
      <c r="H103" s="13">
        <f>IF(OR(C103="",E103="",E103=0),"",G103/E103)</f>
        <v/>
      </c>
      <c r="I103" s="13">
        <f>IF(C103="","",'Rate Calculator'!$B$16)</f>
        <v/>
      </c>
      <c r="J103" s="13">
        <f>IF(OR(H103="",I103=""),"",H103-I103)</f>
        <v/>
      </c>
      <c r="K103">
        <f>IF(H103="","",IF(H103&gt;=I103,"On target",IF(H103&gt;=0.7*I103,"Underpriced","Money loser")))</f>
        <v/>
      </c>
    </row>
    <row r="104">
      <c r="A104" s="12" t="n"/>
      <c r="B104" s="12" t="n"/>
      <c r="C104" s="3" t="n"/>
      <c r="D104" s="12" t="n"/>
      <c r="E104" s="12" t="n"/>
      <c r="F104" s="3" t="n"/>
      <c r="G104" s="13">
        <f>IF(C104="","",C104-IF(F104="",0,F104))</f>
        <v/>
      </c>
      <c r="H104" s="13">
        <f>IF(OR(C104="",E104="",E104=0),"",G104/E104)</f>
        <v/>
      </c>
      <c r="I104" s="13">
        <f>IF(C104="","",'Rate Calculator'!$B$16)</f>
        <v/>
      </c>
      <c r="J104" s="13">
        <f>IF(OR(H104="",I104=""),"",H104-I104)</f>
        <v/>
      </c>
      <c r="K104">
        <f>IF(H104="","",IF(H104&gt;=I104,"On target",IF(H104&gt;=0.7*I104,"Underpriced","Money loser")))</f>
        <v/>
      </c>
    </row>
    <row r="105">
      <c r="A105" s="12" t="n"/>
      <c r="B105" s="12" t="n"/>
      <c r="C105" s="3" t="n"/>
      <c r="D105" s="12" t="n"/>
      <c r="E105" s="12" t="n"/>
      <c r="F105" s="3" t="n"/>
      <c r="G105" s="13">
        <f>IF(C105="","",C105-IF(F105="",0,F105))</f>
        <v/>
      </c>
      <c r="H105" s="13">
        <f>IF(OR(C105="",E105="",E105=0),"",G105/E105)</f>
        <v/>
      </c>
      <c r="I105" s="13">
        <f>IF(C105="","",'Rate Calculator'!$B$16)</f>
        <v/>
      </c>
      <c r="J105" s="13">
        <f>IF(OR(H105="",I105=""),"",H105-I105)</f>
        <v/>
      </c>
      <c r="K105">
        <f>IF(H105="","",IF(H105&gt;=I105,"On target",IF(H105&gt;=0.7*I105,"Underpriced","Money loser")))</f>
        <v/>
      </c>
    </row>
    <row r="106">
      <c r="A106" s="12" t="n"/>
      <c r="B106" s="12" t="n"/>
      <c r="C106" s="3" t="n"/>
      <c r="D106" s="12" t="n"/>
      <c r="E106" s="12" t="n"/>
      <c r="F106" s="3" t="n"/>
      <c r="G106" s="13">
        <f>IF(C106="","",C106-IF(F106="",0,F106))</f>
        <v/>
      </c>
      <c r="H106" s="13">
        <f>IF(OR(C106="",E106="",E106=0),"",G106/E106)</f>
        <v/>
      </c>
      <c r="I106" s="13">
        <f>IF(C106="","",'Rate Calculator'!$B$16)</f>
        <v/>
      </c>
      <c r="J106" s="13">
        <f>IF(OR(H106="",I106=""),"",H106-I106)</f>
        <v/>
      </c>
      <c r="K106">
        <f>IF(H106="","",IF(H106&gt;=I106,"On target",IF(H106&gt;=0.7*I106,"Underpriced","Money loser")))</f>
        <v/>
      </c>
    </row>
    <row r="107">
      <c r="A107" s="12" t="n"/>
      <c r="B107" s="12" t="n"/>
      <c r="C107" s="3" t="n"/>
      <c r="D107" s="12" t="n"/>
      <c r="E107" s="12" t="n"/>
      <c r="F107" s="3" t="n"/>
      <c r="G107" s="13">
        <f>IF(C107="","",C107-IF(F107="",0,F107))</f>
        <v/>
      </c>
      <c r="H107" s="13">
        <f>IF(OR(C107="",E107="",E107=0),"",G107/E107)</f>
        <v/>
      </c>
      <c r="I107" s="13">
        <f>IF(C107="","",'Rate Calculator'!$B$16)</f>
        <v/>
      </c>
      <c r="J107" s="13">
        <f>IF(OR(H107="",I107=""),"",H107-I107)</f>
        <v/>
      </c>
      <c r="K107">
        <f>IF(H107="","",IF(H107&gt;=I107,"On target",IF(H107&gt;=0.7*I107,"Underpriced","Money loser")))</f>
        <v/>
      </c>
    </row>
    <row r="108">
      <c r="A108" s="12" t="n"/>
      <c r="B108" s="12" t="n"/>
      <c r="C108" s="3" t="n"/>
      <c r="D108" s="12" t="n"/>
      <c r="E108" s="12" t="n"/>
      <c r="F108" s="3" t="n"/>
      <c r="G108" s="13">
        <f>IF(C108="","",C108-IF(F108="",0,F108))</f>
        <v/>
      </c>
      <c r="H108" s="13">
        <f>IF(OR(C108="",E108="",E108=0),"",G108/E108)</f>
        <v/>
      </c>
      <c r="I108" s="13">
        <f>IF(C108="","",'Rate Calculator'!$B$16)</f>
        <v/>
      </c>
      <c r="J108" s="13">
        <f>IF(OR(H108="",I108=""),"",H108-I108)</f>
        <v/>
      </c>
      <c r="K108">
        <f>IF(H108="","",IF(H108&gt;=I108,"On target",IF(H108&gt;=0.7*I108,"Underpriced","Money loser")))</f>
        <v/>
      </c>
    </row>
    <row r="109">
      <c r="A109" s="12" t="n"/>
      <c r="B109" s="12" t="n"/>
      <c r="C109" s="3" t="n"/>
      <c r="D109" s="12" t="n"/>
      <c r="E109" s="12" t="n"/>
      <c r="F109" s="3" t="n"/>
      <c r="G109" s="13">
        <f>IF(C109="","",C109-IF(F109="",0,F109))</f>
        <v/>
      </c>
      <c r="H109" s="13">
        <f>IF(OR(C109="",E109="",E109=0),"",G109/E109)</f>
        <v/>
      </c>
      <c r="I109" s="13">
        <f>IF(C109="","",'Rate Calculator'!$B$16)</f>
        <v/>
      </c>
      <c r="J109" s="13">
        <f>IF(OR(H109="",I109=""),"",H109-I109)</f>
        <v/>
      </c>
      <c r="K109">
        <f>IF(H109="","",IF(H109&gt;=I109,"On target",IF(H109&gt;=0.7*I109,"Underpriced","Money loser")))</f>
        <v/>
      </c>
    </row>
    <row r="110">
      <c r="A110" s="12" t="n"/>
      <c r="B110" s="12" t="n"/>
      <c r="C110" s="3" t="n"/>
      <c r="D110" s="12" t="n"/>
      <c r="E110" s="12" t="n"/>
      <c r="F110" s="3" t="n"/>
      <c r="G110" s="13">
        <f>IF(C110="","",C110-IF(F110="",0,F110))</f>
        <v/>
      </c>
      <c r="H110" s="13">
        <f>IF(OR(C110="",E110="",E110=0),"",G110/E110)</f>
        <v/>
      </c>
      <c r="I110" s="13">
        <f>IF(C110="","",'Rate Calculator'!$B$16)</f>
        <v/>
      </c>
      <c r="J110" s="13">
        <f>IF(OR(H110="",I110=""),"",H110-I110)</f>
        <v/>
      </c>
      <c r="K110">
        <f>IF(H110="","",IF(H110&gt;=I110,"On target",IF(H110&gt;=0.7*I110,"Underpriced","Money loser")))</f>
        <v/>
      </c>
    </row>
    <row r="111">
      <c r="A111" s="12" t="n"/>
      <c r="B111" s="12" t="n"/>
      <c r="C111" s="3" t="n"/>
      <c r="D111" s="12" t="n"/>
      <c r="E111" s="12" t="n"/>
      <c r="F111" s="3" t="n"/>
      <c r="G111" s="13">
        <f>IF(C111="","",C111-IF(F111="",0,F111))</f>
        <v/>
      </c>
      <c r="H111" s="13">
        <f>IF(OR(C111="",E111="",E111=0),"",G111/E111)</f>
        <v/>
      </c>
      <c r="I111" s="13">
        <f>IF(C111="","",'Rate Calculator'!$B$16)</f>
        <v/>
      </c>
      <c r="J111" s="13">
        <f>IF(OR(H111="",I111=""),"",H111-I111)</f>
        <v/>
      </c>
      <c r="K111">
        <f>IF(H111="","",IF(H111&gt;=I111,"On target",IF(H111&gt;=0.7*I111,"Underpriced","Money loser")))</f>
        <v/>
      </c>
    </row>
    <row r="112">
      <c r="A112" s="12" t="n"/>
      <c r="B112" s="12" t="n"/>
      <c r="C112" s="3" t="n"/>
      <c r="D112" s="12" t="n"/>
      <c r="E112" s="12" t="n"/>
      <c r="F112" s="3" t="n"/>
      <c r="G112" s="13">
        <f>IF(C112="","",C112-IF(F112="",0,F112))</f>
        <v/>
      </c>
      <c r="H112" s="13">
        <f>IF(OR(C112="",E112="",E112=0),"",G112/E112)</f>
        <v/>
      </c>
      <c r="I112" s="13">
        <f>IF(C112="","",'Rate Calculator'!$B$16)</f>
        <v/>
      </c>
      <c r="J112" s="13">
        <f>IF(OR(H112="",I112=""),"",H112-I112)</f>
        <v/>
      </c>
      <c r="K112">
        <f>IF(H112="","",IF(H112&gt;=I112,"On target",IF(H112&gt;=0.7*I112,"Underpriced","Money loser")))</f>
        <v/>
      </c>
    </row>
    <row r="113">
      <c r="A113" s="12" t="n"/>
      <c r="B113" s="12" t="n"/>
      <c r="C113" s="3" t="n"/>
      <c r="D113" s="12" t="n"/>
      <c r="E113" s="12" t="n"/>
      <c r="F113" s="3" t="n"/>
      <c r="G113" s="13">
        <f>IF(C113="","",C113-IF(F113="",0,F113))</f>
        <v/>
      </c>
      <c r="H113" s="13">
        <f>IF(OR(C113="",E113="",E113=0),"",G113/E113)</f>
        <v/>
      </c>
      <c r="I113" s="13">
        <f>IF(C113="","",'Rate Calculator'!$B$16)</f>
        <v/>
      </c>
      <c r="J113" s="13">
        <f>IF(OR(H113="",I113=""),"",H113-I113)</f>
        <v/>
      </c>
      <c r="K113">
        <f>IF(H113="","",IF(H113&gt;=I113,"On target",IF(H113&gt;=0.7*I113,"Underpriced","Money loser")))</f>
        <v/>
      </c>
    </row>
    <row r="114">
      <c r="A114" s="12" t="n"/>
      <c r="B114" s="12" t="n"/>
      <c r="C114" s="3" t="n"/>
      <c r="D114" s="12" t="n"/>
      <c r="E114" s="12" t="n"/>
      <c r="F114" s="3" t="n"/>
      <c r="G114" s="13">
        <f>IF(C114="","",C114-IF(F114="",0,F114))</f>
        <v/>
      </c>
      <c r="H114" s="13">
        <f>IF(OR(C114="",E114="",E114=0),"",G114/E114)</f>
        <v/>
      </c>
      <c r="I114" s="13">
        <f>IF(C114="","",'Rate Calculator'!$B$16)</f>
        <v/>
      </c>
      <c r="J114" s="13">
        <f>IF(OR(H114="",I114=""),"",H114-I114)</f>
        <v/>
      </c>
      <c r="K114">
        <f>IF(H114="","",IF(H114&gt;=I114,"On target",IF(H114&gt;=0.7*I114,"Underpriced","Money loser")))</f>
        <v/>
      </c>
    </row>
    <row r="115">
      <c r="A115" s="12" t="n"/>
      <c r="B115" s="12" t="n"/>
      <c r="C115" s="3" t="n"/>
      <c r="D115" s="12" t="n"/>
      <c r="E115" s="12" t="n"/>
      <c r="F115" s="3" t="n"/>
      <c r="G115" s="13">
        <f>IF(C115="","",C115-IF(F115="",0,F115))</f>
        <v/>
      </c>
      <c r="H115" s="13">
        <f>IF(OR(C115="",E115="",E115=0),"",G115/E115)</f>
        <v/>
      </c>
      <c r="I115" s="13">
        <f>IF(C115="","",'Rate Calculator'!$B$16)</f>
        <v/>
      </c>
      <c r="J115" s="13">
        <f>IF(OR(H115="",I115=""),"",H115-I115)</f>
        <v/>
      </c>
      <c r="K115">
        <f>IF(H115="","",IF(H115&gt;=I115,"On target",IF(H115&gt;=0.7*I115,"Underpriced","Money loser")))</f>
        <v/>
      </c>
    </row>
    <row r="116">
      <c r="A116" s="12" t="n"/>
      <c r="B116" s="12" t="n"/>
      <c r="C116" s="3" t="n"/>
      <c r="D116" s="12" t="n"/>
      <c r="E116" s="12" t="n"/>
      <c r="F116" s="3" t="n"/>
      <c r="G116" s="13">
        <f>IF(C116="","",C116-IF(F116="",0,F116))</f>
        <v/>
      </c>
      <c r="H116" s="13">
        <f>IF(OR(C116="",E116="",E116=0),"",G116/E116)</f>
        <v/>
      </c>
      <c r="I116" s="13">
        <f>IF(C116="","",'Rate Calculator'!$B$16)</f>
        <v/>
      </c>
      <c r="J116" s="13">
        <f>IF(OR(H116="",I116=""),"",H116-I116)</f>
        <v/>
      </c>
      <c r="K116">
        <f>IF(H116="","",IF(H116&gt;=I116,"On target",IF(H116&gt;=0.7*I116,"Underpriced","Money loser")))</f>
        <v/>
      </c>
    </row>
    <row r="117">
      <c r="A117" s="12" t="n"/>
      <c r="B117" s="12" t="n"/>
      <c r="C117" s="3" t="n"/>
      <c r="D117" s="12" t="n"/>
      <c r="E117" s="12" t="n"/>
      <c r="F117" s="3" t="n"/>
      <c r="G117" s="13">
        <f>IF(C117="","",C117-IF(F117="",0,F117))</f>
        <v/>
      </c>
      <c r="H117" s="13">
        <f>IF(OR(C117="",E117="",E117=0),"",G117/E117)</f>
        <v/>
      </c>
      <c r="I117" s="13">
        <f>IF(C117="","",'Rate Calculator'!$B$16)</f>
        <v/>
      </c>
      <c r="J117" s="13">
        <f>IF(OR(H117="",I117=""),"",H117-I117)</f>
        <v/>
      </c>
      <c r="K117">
        <f>IF(H117="","",IF(H117&gt;=I117,"On target",IF(H117&gt;=0.7*I117,"Underpriced","Money loser")))</f>
        <v/>
      </c>
    </row>
    <row r="118">
      <c r="A118" s="12" t="n"/>
      <c r="B118" s="12" t="n"/>
      <c r="C118" s="3" t="n"/>
      <c r="D118" s="12" t="n"/>
      <c r="E118" s="12" t="n"/>
      <c r="F118" s="3" t="n"/>
      <c r="G118" s="13">
        <f>IF(C118="","",C118-IF(F118="",0,F118))</f>
        <v/>
      </c>
      <c r="H118" s="13">
        <f>IF(OR(C118="",E118="",E118=0),"",G118/E118)</f>
        <v/>
      </c>
      <c r="I118" s="13">
        <f>IF(C118="","",'Rate Calculator'!$B$16)</f>
        <v/>
      </c>
      <c r="J118" s="13">
        <f>IF(OR(H118="",I118=""),"",H118-I118)</f>
        <v/>
      </c>
      <c r="K118">
        <f>IF(H118="","",IF(H118&gt;=I118,"On target",IF(H118&gt;=0.7*I118,"Underpriced","Money loser")))</f>
        <v/>
      </c>
    </row>
    <row r="119">
      <c r="A119" s="12" t="n"/>
      <c r="B119" s="12" t="n"/>
      <c r="C119" s="3" t="n"/>
      <c r="D119" s="12" t="n"/>
      <c r="E119" s="12" t="n"/>
      <c r="F119" s="3" t="n"/>
      <c r="G119" s="13">
        <f>IF(C119="","",C119-IF(F119="",0,F119))</f>
        <v/>
      </c>
      <c r="H119" s="13">
        <f>IF(OR(C119="",E119="",E119=0),"",G119/E119)</f>
        <v/>
      </c>
      <c r="I119" s="13">
        <f>IF(C119="","",'Rate Calculator'!$B$16)</f>
        <v/>
      </c>
      <c r="J119" s="13">
        <f>IF(OR(H119="",I119=""),"",H119-I119)</f>
        <v/>
      </c>
      <c r="K119">
        <f>IF(H119="","",IF(H119&gt;=I119,"On target",IF(H119&gt;=0.7*I119,"Underpriced","Money loser")))</f>
        <v/>
      </c>
    </row>
    <row r="120">
      <c r="A120" s="12" t="n"/>
      <c r="B120" s="12" t="n"/>
      <c r="C120" s="3" t="n"/>
      <c r="D120" s="12" t="n"/>
      <c r="E120" s="12" t="n"/>
      <c r="F120" s="3" t="n"/>
      <c r="G120" s="13">
        <f>IF(C120="","",C120-IF(F120="",0,F120))</f>
        <v/>
      </c>
      <c r="H120" s="13">
        <f>IF(OR(C120="",E120="",E120=0),"",G120/E120)</f>
        <v/>
      </c>
      <c r="I120" s="13">
        <f>IF(C120="","",'Rate Calculator'!$B$16)</f>
        <v/>
      </c>
      <c r="J120" s="13">
        <f>IF(OR(H120="",I120=""),"",H120-I120)</f>
        <v/>
      </c>
      <c r="K120">
        <f>IF(H120="","",IF(H120&gt;=I120,"On target",IF(H120&gt;=0.7*I120,"Underpriced","Money loser")))</f>
        <v/>
      </c>
    </row>
    <row r="121">
      <c r="A121" s="12" t="n"/>
      <c r="B121" s="12" t="n"/>
      <c r="C121" s="3" t="n"/>
      <c r="D121" s="12" t="n"/>
      <c r="E121" s="12" t="n"/>
      <c r="F121" s="3" t="n"/>
      <c r="G121" s="13">
        <f>IF(C121="","",C121-IF(F121="",0,F121))</f>
        <v/>
      </c>
      <c r="H121" s="13">
        <f>IF(OR(C121="",E121="",E121=0),"",G121/E121)</f>
        <v/>
      </c>
      <c r="I121" s="13">
        <f>IF(C121="","",'Rate Calculator'!$B$16)</f>
        <v/>
      </c>
      <c r="J121" s="13">
        <f>IF(OR(H121="",I121=""),"",H121-I121)</f>
        <v/>
      </c>
      <c r="K121">
        <f>IF(H121="","",IF(H121&gt;=I121,"On target",IF(H121&gt;=0.7*I121,"Underpriced","Money loser")))</f>
        <v/>
      </c>
    </row>
    <row r="122">
      <c r="A122" s="12" t="n"/>
      <c r="B122" s="12" t="n"/>
      <c r="C122" s="3" t="n"/>
      <c r="D122" s="12" t="n"/>
      <c r="E122" s="12" t="n"/>
      <c r="F122" s="3" t="n"/>
      <c r="G122" s="13">
        <f>IF(C122="","",C122-IF(F122="",0,F122))</f>
        <v/>
      </c>
      <c r="H122" s="13">
        <f>IF(OR(C122="",E122="",E122=0),"",G122/E122)</f>
        <v/>
      </c>
      <c r="I122" s="13">
        <f>IF(C122="","",'Rate Calculator'!$B$16)</f>
        <v/>
      </c>
      <c r="J122" s="13">
        <f>IF(OR(H122="",I122=""),"",H122-I122)</f>
        <v/>
      </c>
      <c r="K122">
        <f>IF(H122="","",IF(H122&gt;=I122,"On target",IF(H122&gt;=0.7*I122,"Underpriced","Money loser")))</f>
        <v/>
      </c>
    </row>
    <row r="123">
      <c r="A123" s="12" t="n"/>
      <c r="B123" s="12" t="n"/>
      <c r="C123" s="3" t="n"/>
      <c r="D123" s="12" t="n"/>
      <c r="E123" s="12" t="n"/>
      <c r="F123" s="3" t="n"/>
      <c r="G123" s="13">
        <f>IF(C123="","",C123-IF(F123="",0,F123))</f>
        <v/>
      </c>
      <c r="H123" s="13">
        <f>IF(OR(C123="",E123="",E123=0),"",G123/E123)</f>
        <v/>
      </c>
      <c r="I123" s="13">
        <f>IF(C123="","",'Rate Calculator'!$B$16)</f>
        <v/>
      </c>
      <c r="J123" s="13">
        <f>IF(OR(H123="",I123=""),"",H123-I123)</f>
        <v/>
      </c>
      <c r="K123">
        <f>IF(H123="","",IF(H123&gt;=I123,"On target",IF(H123&gt;=0.7*I123,"Underpriced","Money loser")))</f>
        <v/>
      </c>
    </row>
    <row r="124">
      <c r="A124" s="12" t="n"/>
      <c r="B124" s="12" t="n"/>
      <c r="C124" s="3" t="n"/>
      <c r="D124" s="12" t="n"/>
      <c r="E124" s="12" t="n"/>
      <c r="F124" s="3" t="n"/>
      <c r="G124" s="13">
        <f>IF(C124="","",C124-IF(F124="",0,F124))</f>
        <v/>
      </c>
      <c r="H124" s="13">
        <f>IF(OR(C124="",E124="",E124=0),"",G124/E124)</f>
        <v/>
      </c>
      <c r="I124" s="13">
        <f>IF(C124="","",'Rate Calculator'!$B$16)</f>
        <v/>
      </c>
      <c r="J124" s="13">
        <f>IF(OR(H124="",I124=""),"",H124-I124)</f>
        <v/>
      </c>
      <c r="K124">
        <f>IF(H124="","",IF(H124&gt;=I124,"On target",IF(H124&gt;=0.7*I124,"Underpriced","Money loser")))</f>
        <v/>
      </c>
    </row>
    <row r="125">
      <c r="A125" s="12" t="n"/>
      <c r="B125" s="12" t="n"/>
      <c r="C125" s="3" t="n"/>
      <c r="D125" s="12" t="n"/>
      <c r="E125" s="12" t="n"/>
      <c r="F125" s="3" t="n"/>
      <c r="G125" s="13">
        <f>IF(C125="","",C125-IF(F125="",0,F125))</f>
        <v/>
      </c>
      <c r="H125" s="13">
        <f>IF(OR(C125="",E125="",E125=0),"",G125/E125)</f>
        <v/>
      </c>
      <c r="I125" s="13">
        <f>IF(C125="","",'Rate Calculator'!$B$16)</f>
        <v/>
      </c>
      <c r="J125" s="13">
        <f>IF(OR(H125="",I125=""),"",H125-I125)</f>
        <v/>
      </c>
      <c r="K125">
        <f>IF(H125="","",IF(H125&gt;=I125,"On target",IF(H125&gt;=0.7*I125,"Underpriced","Money loser")))</f>
        <v/>
      </c>
    </row>
    <row r="126">
      <c r="A126" s="12" t="n"/>
      <c r="B126" s="12" t="n"/>
      <c r="C126" s="3" t="n"/>
      <c r="D126" s="12" t="n"/>
      <c r="E126" s="12" t="n"/>
      <c r="F126" s="3" t="n"/>
      <c r="G126" s="13">
        <f>IF(C126="","",C126-IF(F126="",0,F126))</f>
        <v/>
      </c>
      <c r="H126" s="13">
        <f>IF(OR(C126="",E126="",E126=0),"",G126/E126)</f>
        <v/>
      </c>
      <c r="I126" s="13">
        <f>IF(C126="","",'Rate Calculator'!$B$16)</f>
        <v/>
      </c>
      <c r="J126" s="13">
        <f>IF(OR(H126="",I126=""),"",H126-I126)</f>
        <v/>
      </c>
      <c r="K126">
        <f>IF(H126="","",IF(H126&gt;=I126,"On target",IF(H126&gt;=0.7*I126,"Underpriced","Money loser")))</f>
        <v/>
      </c>
    </row>
    <row r="127">
      <c r="A127" s="12" t="n"/>
      <c r="B127" s="12" t="n"/>
      <c r="C127" s="3" t="n"/>
      <c r="D127" s="12" t="n"/>
      <c r="E127" s="12" t="n"/>
      <c r="F127" s="3" t="n"/>
      <c r="G127" s="13">
        <f>IF(C127="","",C127-IF(F127="",0,F127))</f>
        <v/>
      </c>
      <c r="H127" s="13">
        <f>IF(OR(C127="",E127="",E127=0),"",G127/E127)</f>
        <v/>
      </c>
      <c r="I127" s="13">
        <f>IF(C127="","",'Rate Calculator'!$B$16)</f>
        <v/>
      </c>
      <c r="J127" s="13">
        <f>IF(OR(H127="",I127=""),"",H127-I127)</f>
        <v/>
      </c>
      <c r="K127">
        <f>IF(H127="","",IF(H127&gt;=I127,"On target",IF(H127&gt;=0.7*I127,"Underpriced","Money loser")))</f>
        <v/>
      </c>
    </row>
    <row r="128">
      <c r="A128" s="12" t="n"/>
      <c r="B128" s="12" t="n"/>
      <c r="C128" s="3" t="n"/>
      <c r="D128" s="12" t="n"/>
      <c r="E128" s="12" t="n"/>
      <c r="F128" s="3" t="n"/>
      <c r="G128" s="13">
        <f>IF(C128="","",C128-IF(F128="",0,F128))</f>
        <v/>
      </c>
      <c r="H128" s="13">
        <f>IF(OR(C128="",E128="",E128=0),"",G128/E128)</f>
        <v/>
      </c>
      <c r="I128" s="13">
        <f>IF(C128="","",'Rate Calculator'!$B$16)</f>
        <v/>
      </c>
      <c r="J128" s="13">
        <f>IF(OR(H128="",I128=""),"",H128-I128)</f>
        <v/>
      </c>
      <c r="K128">
        <f>IF(H128="","",IF(H128&gt;=I128,"On target",IF(H128&gt;=0.7*I128,"Underpriced","Money loser")))</f>
        <v/>
      </c>
    </row>
    <row r="129">
      <c r="A129" s="12" t="n"/>
      <c r="B129" s="12" t="n"/>
      <c r="C129" s="3" t="n"/>
      <c r="D129" s="12" t="n"/>
      <c r="E129" s="12" t="n"/>
      <c r="F129" s="3" t="n"/>
      <c r="G129" s="13">
        <f>IF(C129="","",C129-IF(F129="",0,F129))</f>
        <v/>
      </c>
      <c r="H129" s="13">
        <f>IF(OR(C129="",E129="",E129=0),"",G129/E129)</f>
        <v/>
      </c>
      <c r="I129" s="13">
        <f>IF(C129="","",'Rate Calculator'!$B$16)</f>
        <v/>
      </c>
      <c r="J129" s="13">
        <f>IF(OR(H129="",I129=""),"",H129-I129)</f>
        <v/>
      </c>
      <c r="K129">
        <f>IF(H129="","",IF(H129&gt;=I129,"On target",IF(H129&gt;=0.7*I129,"Underpriced","Money loser")))</f>
        <v/>
      </c>
    </row>
    <row r="130">
      <c r="A130" s="12" t="n"/>
      <c r="B130" s="12" t="n"/>
      <c r="C130" s="3" t="n"/>
      <c r="D130" s="12" t="n"/>
      <c r="E130" s="12" t="n"/>
      <c r="F130" s="3" t="n"/>
      <c r="G130" s="13">
        <f>IF(C130="","",C130-IF(F130="",0,F130))</f>
        <v/>
      </c>
      <c r="H130" s="13">
        <f>IF(OR(C130="",E130="",E130=0),"",G130/E130)</f>
        <v/>
      </c>
      <c r="I130" s="13">
        <f>IF(C130="","",'Rate Calculator'!$B$16)</f>
        <v/>
      </c>
      <c r="J130" s="13">
        <f>IF(OR(H130="",I130=""),"",H130-I130)</f>
        <v/>
      </c>
      <c r="K130">
        <f>IF(H130="","",IF(H130&gt;=I130,"On target",IF(H130&gt;=0.7*I130,"Underpriced","Money loser")))</f>
        <v/>
      </c>
    </row>
    <row r="131">
      <c r="A131" s="12" t="n"/>
      <c r="B131" s="12" t="n"/>
      <c r="C131" s="3" t="n"/>
      <c r="D131" s="12" t="n"/>
      <c r="E131" s="12" t="n"/>
      <c r="F131" s="3" t="n"/>
      <c r="G131" s="13">
        <f>IF(C131="","",C131-IF(F131="",0,F131))</f>
        <v/>
      </c>
      <c r="H131" s="13">
        <f>IF(OR(C131="",E131="",E131=0),"",G131/E131)</f>
        <v/>
      </c>
      <c r="I131" s="13">
        <f>IF(C131="","",'Rate Calculator'!$B$16)</f>
        <v/>
      </c>
      <c r="J131" s="13">
        <f>IF(OR(H131="",I131=""),"",H131-I131)</f>
        <v/>
      </c>
      <c r="K131">
        <f>IF(H131="","",IF(H131&gt;=I131,"On target",IF(H131&gt;=0.7*I131,"Underpriced","Money loser")))</f>
        <v/>
      </c>
    </row>
    <row r="132">
      <c r="A132" s="12" t="n"/>
      <c r="B132" s="12" t="n"/>
      <c r="C132" s="3" t="n"/>
      <c r="D132" s="12" t="n"/>
      <c r="E132" s="12" t="n"/>
      <c r="F132" s="3" t="n"/>
      <c r="G132" s="13">
        <f>IF(C132="","",C132-IF(F132="",0,F132))</f>
        <v/>
      </c>
      <c r="H132" s="13">
        <f>IF(OR(C132="",E132="",E132=0),"",G132/E132)</f>
        <v/>
      </c>
      <c r="I132" s="13">
        <f>IF(C132="","",'Rate Calculator'!$B$16)</f>
        <v/>
      </c>
      <c r="J132" s="13">
        <f>IF(OR(H132="",I132=""),"",H132-I132)</f>
        <v/>
      </c>
      <c r="K132">
        <f>IF(H132="","",IF(H132&gt;=I132,"On target",IF(H132&gt;=0.7*I132,"Underpriced","Money loser")))</f>
        <v/>
      </c>
    </row>
    <row r="133">
      <c r="A133" s="12" t="n"/>
      <c r="B133" s="12" t="n"/>
      <c r="C133" s="3" t="n"/>
      <c r="D133" s="12" t="n"/>
      <c r="E133" s="12" t="n"/>
      <c r="F133" s="3" t="n"/>
      <c r="G133" s="13">
        <f>IF(C133="","",C133-IF(F133="",0,F133))</f>
        <v/>
      </c>
      <c r="H133" s="13">
        <f>IF(OR(C133="",E133="",E133=0),"",G133/E133)</f>
        <v/>
      </c>
      <c r="I133" s="13">
        <f>IF(C133="","",'Rate Calculator'!$B$16)</f>
        <v/>
      </c>
      <c r="J133" s="13">
        <f>IF(OR(H133="",I133=""),"",H133-I133)</f>
        <v/>
      </c>
      <c r="K133">
        <f>IF(H133="","",IF(H133&gt;=I133,"On target",IF(H133&gt;=0.7*I133,"Underpriced","Money loser")))</f>
        <v/>
      </c>
    </row>
    <row r="134">
      <c r="A134" s="12" t="n"/>
      <c r="B134" s="12" t="n"/>
      <c r="C134" s="3" t="n"/>
      <c r="D134" s="12" t="n"/>
      <c r="E134" s="12" t="n"/>
      <c r="F134" s="3" t="n"/>
      <c r="G134" s="13">
        <f>IF(C134="","",C134-IF(F134="",0,F134))</f>
        <v/>
      </c>
      <c r="H134" s="13">
        <f>IF(OR(C134="",E134="",E134=0),"",G134/E134)</f>
        <v/>
      </c>
      <c r="I134" s="13">
        <f>IF(C134="","",'Rate Calculator'!$B$16)</f>
        <v/>
      </c>
      <c r="J134" s="13">
        <f>IF(OR(H134="",I134=""),"",H134-I134)</f>
        <v/>
      </c>
      <c r="K134">
        <f>IF(H134="","",IF(H134&gt;=I134,"On target",IF(H134&gt;=0.7*I134,"Underpriced","Money loser")))</f>
        <v/>
      </c>
    </row>
    <row r="135">
      <c r="A135" s="12" t="n"/>
      <c r="B135" s="12" t="n"/>
      <c r="C135" s="3" t="n"/>
      <c r="D135" s="12" t="n"/>
      <c r="E135" s="12" t="n"/>
      <c r="F135" s="3" t="n"/>
      <c r="G135" s="13">
        <f>IF(C135="","",C135-IF(F135="",0,F135))</f>
        <v/>
      </c>
      <c r="H135" s="13">
        <f>IF(OR(C135="",E135="",E135=0),"",G135/E135)</f>
        <v/>
      </c>
      <c r="I135" s="13">
        <f>IF(C135="","",'Rate Calculator'!$B$16)</f>
        <v/>
      </c>
      <c r="J135" s="13">
        <f>IF(OR(H135="",I135=""),"",H135-I135)</f>
        <v/>
      </c>
      <c r="K135">
        <f>IF(H135="","",IF(H135&gt;=I135,"On target",IF(H135&gt;=0.7*I135,"Underpriced","Money loser")))</f>
        <v/>
      </c>
    </row>
    <row r="136">
      <c r="A136" s="12" t="n"/>
      <c r="B136" s="12" t="n"/>
      <c r="C136" s="3" t="n"/>
      <c r="D136" s="12" t="n"/>
      <c r="E136" s="12" t="n"/>
      <c r="F136" s="3" t="n"/>
      <c r="G136" s="13">
        <f>IF(C136="","",C136-IF(F136="",0,F136))</f>
        <v/>
      </c>
      <c r="H136" s="13">
        <f>IF(OR(C136="",E136="",E136=0),"",G136/E136)</f>
        <v/>
      </c>
      <c r="I136" s="13">
        <f>IF(C136="","",'Rate Calculator'!$B$16)</f>
        <v/>
      </c>
      <c r="J136" s="13">
        <f>IF(OR(H136="",I136=""),"",H136-I136)</f>
        <v/>
      </c>
      <c r="K136">
        <f>IF(H136="","",IF(H136&gt;=I136,"On target",IF(H136&gt;=0.7*I136,"Underpriced","Money loser")))</f>
        <v/>
      </c>
    </row>
    <row r="137">
      <c r="A137" s="12" t="n"/>
      <c r="B137" s="12" t="n"/>
      <c r="C137" s="3" t="n"/>
      <c r="D137" s="12" t="n"/>
      <c r="E137" s="12" t="n"/>
      <c r="F137" s="3" t="n"/>
      <c r="G137" s="13">
        <f>IF(C137="","",C137-IF(F137="",0,F137))</f>
        <v/>
      </c>
      <c r="H137" s="13">
        <f>IF(OR(C137="",E137="",E137=0),"",G137/E137)</f>
        <v/>
      </c>
      <c r="I137" s="13">
        <f>IF(C137="","",'Rate Calculator'!$B$16)</f>
        <v/>
      </c>
      <c r="J137" s="13">
        <f>IF(OR(H137="",I137=""),"",H137-I137)</f>
        <v/>
      </c>
      <c r="K137">
        <f>IF(H137="","",IF(H137&gt;=I137,"On target",IF(H137&gt;=0.7*I137,"Underpriced","Money loser")))</f>
        <v/>
      </c>
    </row>
    <row r="138">
      <c r="A138" s="12" t="n"/>
      <c r="B138" s="12" t="n"/>
      <c r="C138" s="3" t="n"/>
      <c r="D138" s="12" t="n"/>
      <c r="E138" s="12" t="n"/>
      <c r="F138" s="3" t="n"/>
      <c r="G138" s="13">
        <f>IF(C138="","",C138-IF(F138="",0,F138))</f>
        <v/>
      </c>
      <c r="H138" s="13">
        <f>IF(OR(C138="",E138="",E138=0),"",G138/E138)</f>
        <v/>
      </c>
      <c r="I138" s="13">
        <f>IF(C138="","",'Rate Calculator'!$B$16)</f>
        <v/>
      </c>
      <c r="J138" s="13">
        <f>IF(OR(H138="",I138=""),"",H138-I138)</f>
        <v/>
      </c>
      <c r="K138">
        <f>IF(H138="","",IF(H138&gt;=I138,"On target",IF(H138&gt;=0.7*I138,"Underpriced","Money loser")))</f>
        <v/>
      </c>
    </row>
    <row r="139">
      <c r="A139" s="12" t="n"/>
      <c r="B139" s="12" t="n"/>
      <c r="C139" s="3" t="n"/>
      <c r="D139" s="12" t="n"/>
      <c r="E139" s="12" t="n"/>
      <c r="F139" s="3" t="n"/>
      <c r="G139" s="13">
        <f>IF(C139="","",C139-IF(F139="",0,F139))</f>
        <v/>
      </c>
      <c r="H139" s="13">
        <f>IF(OR(C139="",E139="",E139=0),"",G139/E139)</f>
        <v/>
      </c>
      <c r="I139" s="13">
        <f>IF(C139="","",'Rate Calculator'!$B$16)</f>
        <v/>
      </c>
      <c r="J139" s="13">
        <f>IF(OR(H139="",I139=""),"",H139-I139)</f>
        <v/>
      </c>
      <c r="K139">
        <f>IF(H139="","",IF(H139&gt;=I139,"On target",IF(H139&gt;=0.7*I139,"Underpriced","Money loser")))</f>
        <v/>
      </c>
    </row>
    <row r="140">
      <c r="A140" s="12" t="n"/>
      <c r="B140" s="12" t="n"/>
      <c r="C140" s="3" t="n"/>
      <c r="D140" s="12" t="n"/>
      <c r="E140" s="12" t="n"/>
      <c r="F140" s="3" t="n"/>
      <c r="G140" s="13">
        <f>IF(C140="","",C140-IF(F140="",0,F140))</f>
        <v/>
      </c>
      <c r="H140" s="13">
        <f>IF(OR(C140="",E140="",E140=0),"",G140/E140)</f>
        <v/>
      </c>
      <c r="I140" s="13">
        <f>IF(C140="","",'Rate Calculator'!$B$16)</f>
        <v/>
      </c>
      <c r="J140" s="13">
        <f>IF(OR(H140="",I140=""),"",H140-I140)</f>
        <v/>
      </c>
      <c r="K140">
        <f>IF(H140="","",IF(H140&gt;=I140,"On target",IF(H140&gt;=0.7*I140,"Underpriced","Money loser")))</f>
        <v/>
      </c>
    </row>
    <row r="141">
      <c r="A141" s="12" t="n"/>
      <c r="B141" s="12" t="n"/>
      <c r="C141" s="3" t="n"/>
      <c r="D141" s="12" t="n"/>
      <c r="E141" s="12" t="n"/>
      <c r="F141" s="3" t="n"/>
      <c r="G141" s="13">
        <f>IF(C141="","",C141-IF(F141="",0,F141))</f>
        <v/>
      </c>
      <c r="H141" s="13">
        <f>IF(OR(C141="",E141="",E141=0),"",G141/E141)</f>
        <v/>
      </c>
      <c r="I141" s="13">
        <f>IF(C141="","",'Rate Calculator'!$B$16)</f>
        <v/>
      </c>
      <c r="J141" s="13">
        <f>IF(OR(H141="",I141=""),"",H141-I141)</f>
        <v/>
      </c>
      <c r="K141">
        <f>IF(H141="","",IF(H141&gt;=I141,"On target",IF(H141&gt;=0.7*I141,"Underpriced","Money loser")))</f>
        <v/>
      </c>
    </row>
    <row r="142">
      <c r="A142" s="12" t="n"/>
      <c r="B142" s="12" t="n"/>
      <c r="C142" s="3" t="n"/>
      <c r="D142" s="12" t="n"/>
      <c r="E142" s="12" t="n"/>
      <c r="F142" s="3" t="n"/>
      <c r="G142" s="13">
        <f>IF(C142="","",C142-IF(F142="",0,F142))</f>
        <v/>
      </c>
      <c r="H142" s="13">
        <f>IF(OR(C142="",E142="",E142=0),"",G142/E142)</f>
        <v/>
      </c>
      <c r="I142" s="13">
        <f>IF(C142="","",'Rate Calculator'!$B$16)</f>
        <v/>
      </c>
      <c r="J142" s="13">
        <f>IF(OR(H142="",I142=""),"",H142-I142)</f>
        <v/>
      </c>
      <c r="K142">
        <f>IF(H142="","",IF(H142&gt;=I142,"On target",IF(H142&gt;=0.7*I142,"Underpriced","Money loser")))</f>
        <v/>
      </c>
    </row>
    <row r="143">
      <c r="A143" s="12" t="n"/>
      <c r="B143" s="12" t="n"/>
      <c r="C143" s="3" t="n"/>
      <c r="D143" s="12" t="n"/>
      <c r="E143" s="12" t="n"/>
      <c r="F143" s="3" t="n"/>
      <c r="G143" s="13">
        <f>IF(C143="","",C143-IF(F143="",0,F143))</f>
        <v/>
      </c>
      <c r="H143" s="13">
        <f>IF(OR(C143="",E143="",E143=0),"",G143/E143)</f>
        <v/>
      </c>
      <c r="I143" s="13">
        <f>IF(C143="","",'Rate Calculator'!$B$16)</f>
        <v/>
      </c>
      <c r="J143" s="13">
        <f>IF(OR(H143="",I143=""),"",H143-I143)</f>
        <v/>
      </c>
      <c r="K143">
        <f>IF(H143="","",IF(H143&gt;=I143,"On target",IF(H143&gt;=0.7*I143,"Underpriced","Money loser")))</f>
        <v/>
      </c>
    </row>
    <row r="144">
      <c r="A144" s="12" t="n"/>
      <c r="B144" s="12" t="n"/>
      <c r="C144" s="3" t="n"/>
      <c r="D144" s="12" t="n"/>
      <c r="E144" s="12" t="n"/>
      <c r="F144" s="3" t="n"/>
      <c r="G144" s="13">
        <f>IF(C144="","",C144-IF(F144="",0,F144))</f>
        <v/>
      </c>
      <c r="H144" s="13">
        <f>IF(OR(C144="",E144="",E144=0),"",G144/E144)</f>
        <v/>
      </c>
      <c r="I144" s="13">
        <f>IF(C144="","",'Rate Calculator'!$B$16)</f>
        <v/>
      </c>
      <c r="J144" s="13">
        <f>IF(OR(H144="",I144=""),"",H144-I144)</f>
        <v/>
      </c>
      <c r="K144">
        <f>IF(H144="","",IF(H144&gt;=I144,"On target",IF(H144&gt;=0.7*I144,"Underpriced","Money loser")))</f>
        <v/>
      </c>
    </row>
    <row r="145">
      <c r="A145" s="12" t="n"/>
      <c r="B145" s="12" t="n"/>
      <c r="C145" s="3" t="n"/>
      <c r="D145" s="12" t="n"/>
      <c r="E145" s="12" t="n"/>
      <c r="F145" s="3" t="n"/>
      <c r="G145" s="13">
        <f>IF(C145="","",C145-IF(F145="",0,F145))</f>
        <v/>
      </c>
      <c r="H145" s="13">
        <f>IF(OR(C145="",E145="",E145=0),"",G145/E145)</f>
        <v/>
      </c>
      <c r="I145" s="13">
        <f>IF(C145="","",'Rate Calculator'!$B$16)</f>
        <v/>
      </c>
      <c r="J145" s="13">
        <f>IF(OR(H145="",I145=""),"",H145-I145)</f>
        <v/>
      </c>
      <c r="K145">
        <f>IF(H145="","",IF(H145&gt;=I145,"On target",IF(H145&gt;=0.7*I145,"Underpriced","Money loser")))</f>
        <v/>
      </c>
    </row>
    <row r="146">
      <c r="A146" s="12" t="n"/>
      <c r="B146" s="12" t="n"/>
      <c r="C146" s="3" t="n"/>
      <c r="D146" s="12" t="n"/>
      <c r="E146" s="12" t="n"/>
      <c r="F146" s="3" t="n"/>
      <c r="G146" s="13">
        <f>IF(C146="","",C146-IF(F146="",0,F146))</f>
        <v/>
      </c>
      <c r="H146" s="13">
        <f>IF(OR(C146="",E146="",E146=0),"",G146/E146)</f>
        <v/>
      </c>
      <c r="I146" s="13">
        <f>IF(C146="","",'Rate Calculator'!$B$16)</f>
        <v/>
      </c>
      <c r="J146" s="13">
        <f>IF(OR(H146="",I146=""),"",H146-I146)</f>
        <v/>
      </c>
      <c r="K146">
        <f>IF(H146="","",IF(H146&gt;=I146,"On target",IF(H146&gt;=0.7*I146,"Underpriced","Money loser")))</f>
        <v/>
      </c>
    </row>
    <row r="147">
      <c r="A147" s="12" t="n"/>
      <c r="B147" s="12" t="n"/>
      <c r="C147" s="3" t="n"/>
      <c r="D147" s="12" t="n"/>
      <c r="E147" s="12" t="n"/>
      <c r="F147" s="3" t="n"/>
      <c r="G147" s="13">
        <f>IF(C147="","",C147-IF(F147="",0,F147))</f>
        <v/>
      </c>
      <c r="H147" s="13">
        <f>IF(OR(C147="",E147="",E147=0),"",G147/E147)</f>
        <v/>
      </c>
      <c r="I147" s="13">
        <f>IF(C147="","",'Rate Calculator'!$B$16)</f>
        <v/>
      </c>
      <c r="J147" s="13">
        <f>IF(OR(H147="",I147=""),"",H147-I147)</f>
        <v/>
      </c>
      <c r="K147">
        <f>IF(H147="","",IF(H147&gt;=I147,"On target",IF(H147&gt;=0.7*I147,"Underpriced","Money loser")))</f>
        <v/>
      </c>
    </row>
    <row r="148">
      <c r="A148" s="12" t="n"/>
      <c r="B148" s="12" t="n"/>
      <c r="C148" s="3" t="n"/>
      <c r="D148" s="12" t="n"/>
      <c r="E148" s="12" t="n"/>
      <c r="F148" s="3" t="n"/>
      <c r="G148" s="13">
        <f>IF(C148="","",C148-IF(F148="",0,F148))</f>
        <v/>
      </c>
      <c r="H148" s="13">
        <f>IF(OR(C148="",E148="",E148=0),"",G148/E148)</f>
        <v/>
      </c>
      <c r="I148" s="13">
        <f>IF(C148="","",'Rate Calculator'!$B$16)</f>
        <v/>
      </c>
      <c r="J148" s="13">
        <f>IF(OR(H148="",I148=""),"",H148-I148)</f>
        <v/>
      </c>
      <c r="K148">
        <f>IF(H148="","",IF(H148&gt;=I148,"On target",IF(H148&gt;=0.7*I148,"Underpriced","Money loser")))</f>
        <v/>
      </c>
    </row>
    <row r="149">
      <c r="A149" s="12" t="n"/>
      <c r="B149" s="12" t="n"/>
      <c r="C149" s="3" t="n"/>
      <c r="D149" s="12" t="n"/>
      <c r="E149" s="12" t="n"/>
      <c r="F149" s="3" t="n"/>
      <c r="G149" s="13">
        <f>IF(C149="","",C149-IF(F149="",0,F149))</f>
        <v/>
      </c>
      <c r="H149" s="13">
        <f>IF(OR(C149="",E149="",E149=0),"",G149/E149)</f>
        <v/>
      </c>
      <c r="I149" s="13">
        <f>IF(C149="","",'Rate Calculator'!$B$16)</f>
        <v/>
      </c>
      <c r="J149" s="13">
        <f>IF(OR(H149="",I149=""),"",H149-I149)</f>
        <v/>
      </c>
      <c r="K149">
        <f>IF(H149="","",IF(H149&gt;=I149,"On target",IF(H149&gt;=0.7*I149,"Underpriced","Money loser")))</f>
        <v/>
      </c>
    </row>
    <row r="150">
      <c r="A150" s="12" t="n"/>
      <c r="B150" s="12" t="n"/>
      <c r="C150" s="3" t="n"/>
      <c r="D150" s="12" t="n"/>
      <c r="E150" s="12" t="n"/>
      <c r="F150" s="3" t="n"/>
      <c r="G150" s="13">
        <f>IF(C150="","",C150-IF(F150="",0,F150))</f>
        <v/>
      </c>
      <c r="H150" s="13">
        <f>IF(OR(C150="",E150="",E150=0),"",G150/E150)</f>
        <v/>
      </c>
      <c r="I150" s="13">
        <f>IF(C150="","",'Rate Calculator'!$B$16)</f>
        <v/>
      </c>
      <c r="J150" s="13">
        <f>IF(OR(H150="",I150=""),"",H150-I150)</f>
        <v/>
      </c>
      <c r="K150">
        <f>IF(H150="","",IF(H150&gt;=I150,"On target",IF(H150&gt;=0.7*I150,"Underpriced","Money loser")))</f>
        <v/>
      </c>
    </row>
    <row r="151">
      <c r="A151" s="12" t="n"/>
      <c r="B151" s="12" t="n"/>
      <c r="C151" s="3" t="n"/>
      <c r="D151" s="12" t="n"/>
      <c r="E151" s="12" t="n"/>
      <c r="F151" s="3" t="n"/>
      <c r="G151" s="13">
        <f>IF(C151="","",C151-IF(F151="",0,F151))</f>
        <v/>
      </c>
      <c r="H151" s="13">
        <f>IF(OR(C151="",E151="",E151=0),"",G151/E151)</f>
        <v/>
      </c>
      <c r="I151" s="13">
        <f>IF(C151="","",'Rate Calculator'!$B$16)</f>
        <v/>
      </c>
      <c r="J151" s="13">
        <f>IF(OR(H151="",I151=""),"",H151-I151)</f>
        <v/>
      </c>
      <c r="K151">
        <f>IF(H151="","",IF(H151&gt;=I151,"On target",IF(H151&gt;=0.7*I151,"Underpriced","Money loser")))</f>
        <v/>
      </c>
    </row>
    <row r="152">
      <c r="A152" s="12" t="n"/>
      <c r="B152" s="12" t="n"/>
      <c r="C152" s="3" t="n"/>
      <c r="D152" s="12" t="n"/>
      <c r="E152" s="12" t="n"/>
      <c r="F152" s="3" t="n"/>
      <c r="G152" s="13">
        <f>IF(C152="","",C152-IF(F152="",0,F152))</f>
        <v/>
      </c>
      <c r="H152" s="13">
        <f>IF(OR(C152="",E152="",E152=0),"",G152/E152)</f>
        <v/>
      </c>
      <c r="I152" s="13">
        <f>IF(C152="","",'Rate Calculator'!$B$16)</f>
        <v/>
      </c>
      <c r="J152" s="13">
        <f>IF(OR(H152="",I152=""),"",H152-I152)</f>
        <v/>
      </c>
      <c r="K152">
        <f>IF(H152="","",IF(H152&gt;=I152,"On target",IF(H152&gt;=0.7*I152,"Underpriced","Money loser")))</f>
        <v/>
      </c>
    </row>
    <row r="153">
      <c r="A153" s="12" t="n"/>
      <c r="B153" s="12" t="n"/>
      <c r="C153" s="3" t="n"/>
      <c r="D153" s="12" t="n"/>
      <c r="E153" s="12" t="n"/>
      <c r="F153" s="3" t="n"/>
      <c r="G153" s="13">
        <f>IF(C153="","",C153-IF(F153="",0,F153))</f>
        <v/>
      </c>
      <c r="H153" s="13">
        <f>IF(OR(C153="",E153="",E153=0),"",G153/E153)</f>
        <v/>
      </c>
      <c r="I153" s="13">
        <f>IF(C153="","",'Rate Calculator'!$B$16)</f>
        <v/>
      </c>
      <c r="J153" s="13">
        <f>IF(OR(H153="",I153=""),"",H153-I153)</f>
        <v/>
      </c>
      <c r="K153">
        <f>IF(H153="","",IF(H153&gt;=I153,"On target",IF(H153&gt;=0.7*I153,"Underpriced","Money loser")))</f>
        <v/>
      </c>
    </row>
    <row r="154">
      <c r="A154" s="12" t="n"/>
      <c r="B154" s="12" t="n"/>
      <c r="C154" s="3" t="n"/>
      <c r="D154" s="12" t="n"/>
      <c r="E154" s="12" t="n"/>
      <c r="F154" s="3" t="n"/>
      <c r="G154" s="13">
        <f>IF(C154="","",C154-IF(F154="",0,F154))</f>
        <v/>
      </c>
      <c r="H154" s="13">
        <f>IF(OR(C154="",E154="",E154=0),"",G154/E154)</f>
        <v/>
      </c>
      <c r="I154" s="13">
        <f>IF(C154="","",'Rate Calculator'!$B$16)</f>
        <v/>
      </c>
      <c r="J154" s="13">
        <f>IF(OR(H154="",I154=""),"",H154-I154)</f>
        <v/>
      </c>
      <c r="K154">
        <f>IF(H154="","",IF(H154&gt;=I154,"On target",IF(H154&gt;=0.7*I154,"Underpriced","Money loser")))</f>
        <v/>
      </c>
    </row>
    <row r="155">
      <c r="A155" s="12" t="n"/>
      <c r="B155" s="12" t="n"/>
      <c r="C155" s="3" t="n"/>
      <c r="D155" s="12" t="n"/>
      <c r="E155" s="12" t="n"/>
      <c r="F155" s="3" t="n"/>
      <c r="G155" s="13">
        <f>IF(C155="","",C155-IF(F155="",0,F155))</f>
        <v/>
      </c>
      <c r="H155" s="13">
        <f>IF(OR(C155="",E155="",E155=0),"",G155/E155)</f>
        <v/>
      </c>
      <c r="I155" s="13">
        <f>IF(C155="","",'Rate Calculator'!$B$16)</f>
        <v/>
      </c>
      <c r="J155" s="13">
        <f>IF(OR(H155="",I155=""),"",H155-I155)</f>
        <v/>
      </c>
      <c r="K155">
        <f>IF(H155="","",IF(H155&gt;=I155,"On target",IF(H155&gt;=0.7*I155,"Underpriced","Money loser")))</f>
        <v/>
      </c>
    </row>
    <row r="156">
      <c r="A156" s="12" t="n"/>
      <c r="B156" s="12" t="n"/>
      <c r="C156" s="3" t="n"/>
      <c r="D156" s="12" t="n"/>
      <c r="E156" s="12" t="n"/>
      <c r="F156" s="3" t="n"/>
      <c r="G156" s="13">
        <f>IF(C156="","",C156-IF(F156="",0,F156))</f>
        <v/>
      </c>
      <c r="H156" s="13">
        <f>IF(OR(C156="",E156="",E156=0),"",G156/E156)</f>
        <v/>
      </c>
      <c r="I156" s="13">
        <f>IF(C156="","",'Rate Calculator'!$B$16)</f>
        <v/>
      </c>
      <c r="J156" s="13">
        <f>IF(OR(H156="",I156=""),"",H156-I156)</f>
        <v/>
      </c>
      <c r="K156">
        <f>IF(H156="","",IF(H156&gt;=I156,"On target",IF(H156&gt;=0.7*I156,"Underpriced","Money loser")))</f>
        <v/>
      </c>
    </row>
    <row r="157">
      <c r="A157" s="12" t="n"/>
      <c r="B157" s="12" t="n"/>
      <c r="C157" s="3" t="n"/>
      <c r="D157" s="12" t="n"/>
      <c r="E157" s="12" t="n"/>
      <c r="F157" s="3" t="n"/>
      <c r="G157" s="13">
        <f>IF(C157="","",C157-IF(F157="",0,F157))</f>
        <v/>
      </c>
      <c r="H157" s="13">
        <f>IF(OR(C157="",E157="",E157=0),"",G157/E157)</f>
        <v/>
      </c>
      <c r="I157" s="13">
        <f>IF(C157="","",'Rate Calculator'!$B$16)</f>
        <v/>
      </c>
      <c r="J157" s="13">
        <f>IF(OR(H157="",I157=""),"",H157-I157)</f>
        <v/>
      </c>
      <c r="K157">
        <f>IF(H157="","",IF(H157&gt;=I157,"On target",IF(H157&gt;=0.7*I157,"Underpriced","Money loser")))</f>
        <v/>
      </c>
    </row>
    <row r="158">
      <c r="A158" s="12" t="n"/>
      <c r="B158" s="12" t="n"/>
      <c r="C158" s="3" t="n"/>
      <c r="D158" s="12" t="n"/>
      <c r="E158" s="12" t="n"/>
      <c r="F158" s="3" t="n"/>
      <c r="G158" s="13">
        <f>IF(C158="","",C158-IF(F158="",0,F158))</f>
        <v/>
      </c>
      <c r="H158" s="13">
        <f>IF(OR(C158="",E158="",E158=0),"",G158/E158)</f>
        <v/>
      </c>
      <c r="I158" s="13">
        <f>IF(C158="","",'Rate Calculator'!$B$16)</f>
        <v/>
      </c>
      <c r="J158" s="13">
        <f>IF(OR(H158="",I158=""),"",H158-I158)</f>
        <v/>
      </c>
      <c r="K158">
        <f>IF(H158="","",IF(H158&gt;=I158,"On target",IF(H158&gt;=0.7*I158,"Underpriced","Money loser")))</f>
        <v/>
      </c>
    </row>
    <row r="159">
      <c r="A159" s="12" t="n"/>
      <c r="B159" s="12" t="n"/>
      <c r="C159" s="3" t="n"/>
      <c r="D159" s="12" t="n"/>
      <c r="E159" s="12" t="n"/>
      <c r="F159" s="3" t="n"/>
      <c r="G159" s="13">
        <f>IF(C159="","",C159-IF(F159="",0,F159))</f>
        <v/>
      </c>
      <c r="H159" s="13">
        <f>IF(OR(C159="",E159="",E159=0),"",G159/E159)</f>
        <v/>
      </c>
      <c r="I159" s="13">
        <f>IF(C159="","",'Rate Calculator'!$B$16)</f>
        <v/>
      </c>
      <c r="J159" s="13">
        <f>IF(OR(H159="",I159=""),"",H159-I159)</f>
        <v/>
      </c>
      <c r="K159">
        <f>IF(H159="","",IF(H159&gt;=I159,"On target",IF(H159&gt;=0.7*I159,"Underpriced","Money loser")))</f>
        <v/>
      </c>
    </row>
    <row r="160">
      <c r="A160" s="12" t="n"/>
      <c r="B160" s="12" t="n"/>
      <c r="C160" s="3" t="n"/>
      <c r="D160" s="12" t="n"/>
      <c r="E160" s="12" t="n"/>
      <c r="F160" s="3" t="n"/>
      <c r="G160" s="13">
        <f>IF(C160="","",C160-IF(F160="",0,F160))</f>
        <v/>
      </c>
      <c r="H160" s="13">
        <f>IF(OR(C160="",E160="",E160=0),"",G160/E160)</f>
        <v/>
      </c>
      <c r="I160" s="13">
        <f>IF(C160="","",'Rate Calculator'!$B$16)</f>
        <v/>
      </c>
      <c r="J160" s="13">
        <f>IF(OR(H160="",I160=""),"",H160-I160)</f>
        <v/>
      </c>
      <c r="K160">
        <f>IF(H160="","",IF(H160&gt;=I160,"On target",IF(H160&gt;=0.7*I160,"Underpriced","Money loser")))</f>
        <v/>
      </c>
    </row>
    <row r="161">
      <c r="A161" s="12" t="n"/>
      <c r="B161" s="12" t="n"/>
      <c r="C161" s="3" t="n"/>
      <c r="D161" s="12" t="n"/>
      <c r="E161" s="12" t="n"/>
      <c r="F161" s="3" t="n"/>
      <c r="G161" s="13">
        <f>IF(C161="","",C161-IF(F161="",0,F161))</f>
        <v/>
      </c>
      <c r="H161" s="13">
        <f>IF(OR(C161="",E161="",E161=0),"",G161/E161)</f>
        <v/>
      </c>
      <c r="I161" s="13">
        <f>IF(C161="","",'Rate Calculator'!$B$16)</f>
        <v/>
      </c>
      <c r="J161" s="13">
        <f>IF(OR(H161="",I161=""),"",H161-I161)</f>
        <v/>
      </c>
      <c r="K161">
        <f>IF(H161="","",IF(H161&gt;=I161,"On target",IF(H161&gt;=0.7*I161,"Underpriced","Money loser")))</f>
        <v/>
      </c>
    </row>
    <row r="162">
      <c r="A162" s="12" t="n"/>
      <c r="B162" s="12" t="n"/>
      <c r="C162" s="3" t="n"/>
      <c r="D162" s="12" t="n"/>
      <c r="E162" s="12" t="n"/>
      <c r="F162" s="3" t="n"/>
      <c r="G162" s="13">
        <f>IF(C162="","",C162-IF(F162="",0,F162))</f>
        <v/>
      </c>
      <c r="H162" s="13">
        <f>IF(OR(C162="",E162="",E162=0),"",G162/E162)</f>
        <v/>
      </c>
      <c r="I162" s="13">
        <f>IF(C162="","",'Rate Calculator'!$B$16)</f>
        <v/>
      </c>
      <c r="J162" s="13">
        <f>IF(OR(H162="",I162=""),"",H162-I162)</f>
        <v/>
      </c>
      <c r="K162">
        <f>IF(H162="","",IF(H162&gt;=I162,"On target",IF(H162&gt;=0.7*I162,"Underpriced","Money loser")))</f>
        <v/>
      </c>
    </row>
    <row r="163">
      <c r="A163" s="12" t="n"/>
      <c r="B163" s="12" t="n"/>
      <c r="C163" s="3" t="n"/>
      <c r="D163" s="12" t="n"/>
      <c r="E163" s="12" t="n"/>
      <c r="F163" s="3" t="n"/>
      <c r="G163" s="13">
        <f>IF(C163="","",C163-IF(F163="",0,F163))</f>
        <v/>
      </c>
      <c r="H163" s="13">
        <f>IF(OR(C163="",E163="",E163=0),"",G163/E163)</f>
        <v/>
      </c>
      <c r="I163" s="13">
        <f>IF(C163="","",'Rate Calculator'!$B$16)</f>
        <v/>
      </c>
      <c r="J163" s="13">
        <f>IF(OR(H163="",I163=""),"",H163-I163)</f>
        <v/>
      </c>
      <c r="K163">
        <f>IF(H163="","",IF(H163&gt;=I163,"On target",IF(H163&gt;=0.7*I163,"Underpriced","Money loser")))</f>
        <v/>
      </c>
    </row>
    <row r="164">
      <c r="A164" s="12" t="n"/>
      <c r="B164" s="12" t="n"/>
      <c r="C164" s="3" t="n"/>
      <c r="D164" s="12" t="n"/>
      <c r="E164" s="12" t="n"/>
      <c r="F164" s="3" t="n"/>
      <c r="G164" s="13">
        <f>IF(C164="","",C164-IF(F164="",0,F164))</f>
        <v/>
      </c>
      <c r="H164" s="13">
        <f>IF(OR(C164="",E164="",E164=0),"",G164/E164)</f>
        <v/>
      </c>
      <c r="I164" s="13">
        <f>IF(C164="","",'Rate Calculator'!$B$16)</f>
        <v/>
      </c>
      <c r="J164" s="13">
        <f>IF(OR(H164="",I164=""),"",H164-I164)</f>
        <v/>
      </c>
      <c r="K164">
        <f>IF(H164="","",IF(H164&gt;=I164,"On target",IF(H164&gt;=0.7*I164,"Underpriced","Money loser")))</f>
        <v/>
      </c>
    </row>
    <row r="165">
      <c r="A165" s="12" t="n"/>
      <c r="B165" s="12" t="n"/>
      <c r="C165" s="3" t="n"/>
      <c r="D165" s="12" t="n"/>
      <c r="E165" s="12" t="n"/>
      <c r="F165" s="3" t="n"/>
      <c r="G165" s="13">
        <f>IF(C165="","",C165-IF(F165="",0,F165))</f>
        <v/>
      </c>
      <c r="H165" s="13">
        <f>IF(OR(C165="",E165="",E165=0),"",G165/E165)</f>
        <v/>
      </c>
      <c r="I165" s="13">
        <f>IF(C165="","",'Rate Calculator'!$B$16)</f>
        <v/>
      </c>
      <c r="J165" s="13">
        <f>IF(OR(H165="",I165=""),"",H165-I165)</f>
        <v/>
      </c>
      <c r="K165">
        <f>IF(H165="","",IF(H165&gt;=I165,"On target",IF(H165&gt;=0.7*I165,"Underpriced","Money loser")))</f>
        <v/>
      </c>
    </row>
    <row r="166">
      <c r="A166" s="12" t="n"/>
      <c r="B166" s="12" t="n"/>
      <c r="C166" s="3" t="n"/>
      <c r="D166" s="12" t="n"/>
      <c r="E166" s="12" t="n"/>
      <c r="F166" s="3" t="n"/>
      <c r="G166" s="13">
        <f>IF(C166="","",C166-IF(F166="",0,F166))</f>
        <v/>
      </c>
      <c r="H166" s="13">
        <f>IF(OR(C166="",E166="",E166=0),"",G166/E166)</f>
        <v/>
      </c>
      <c r="I166" s="13">
        <f>IF(C166="","",'Rate Calculator'!$B$16)</f>
        <v/>
      </c>
      <c r="J166" s="13">
        <f>IF(OR(H166="",I166=""),"",H166-I166)</f>
        <v/>
      </c>
      <c r="K166">
        <f>IF(H166="","",IF(H166&gt;=I166,"On target",IF(H166&gt;=0.7*I166,"Underpriced","Money loser")))</f>
        <v/>
      </c>
    </row>
    <row r="167">
      <c r="A167" s="12" t="n"/>
      <c r="B167" s="12" t="n"/>
      <c r="C167" s="3" t="n"/>
      <c r="D167" s="12" t="n"/>
      <c r="E167" s="12" t="n"/>
      <c r="F167" s="3" t="n"/>
      <c r="G167" s="13">
        <f>IF(C167="","",C167-IF(F167="",0,F167))</f>
        <v/>
      </c>
      <c r="H167" s="13">
        <f>IF(OR(C167="",E167="",E167=0),"",G167/E167)</f>
        <v/>
      </c>
      <c r="I167" s="13">
        <f>IF(C167="","",'Rate Calculator'!$B$16)</f>
        <v/>
      </c>
      <c r="J167" s="13">
        <f>IF(OR(H167="",I167=""),"",H167-I167)</f>
        <v/>
      </c>
      <c r="K167">
        <f>IF(H167="","",IF(H167&gt;=I167,"On target",IF(H167&gt;=0.7*I167,"Underpriced","Money loser")))</f>
        <v/>
      </c>
    </row>
    <row r="168">
      <c r="A168" s="12" t="n"/>
      <c r="B168" s="12" t="n"/>
      <c r="C168" s="3" t="n"/>
      <c r="D168" s="12" t="n"/>
      <c r="E168" s="12" t="n"/>
      <c r="F168" s="3" t="n"/>
      <c r="G168" s="13">
        <f>IF(C168="","",C168-IF(F168="",0,F168))</f>
        <v/>
      </c>
      <c r="H168" s="13">
        <f>IF(OR(C168="",E168="",E168=0),"",G168/E168)</f>
        <v/>
      </c>
      <c r="I168" s="13">
        <f>IF(C168="","",'Rate Calculator'!$B$16)</f>
        <v/>
      </c>
      <c r="J168" s="13">
        <f>IF(OR(H168="",I168=""),"",H168-I168)</f>
        <v/>
      </c>
      <c r="K168">
        <f>IF(H168="","",IF(H168&gt;=I168,"On target",IF(H168&gt;=0.7*I168,"Underpriced","Money loser")))</f>
        <v/>
      </c>
    </row>
    <row r="169">
      <c r="A169" s="12" t="n"/>
      <c r="B169" s="12" t="n"/>
      <c r="C169" s="3" t="n"/>
      <c r="D169" s="12" t="n"/>
      <c r="E169" s="12" t="n"/>
      <c r="F169" s="3" t="n"/>
      <c r="G169" s="13">
        <f>IF(C169="","",C169-IF(F169="",0,F169))</f>
        <v/>
      </c>
      <c r="H169" s="13">
        <f>IF(OR(C169="",E169="",E169=0),"",G169/E169)</f>
        <v/>
      </c>
      <c r="I169" s="13">
        <f>IF(C169="","",'Rate Calculator'!$B$16)</f>
        <v/>
      </c>
      <c r="J169" s="13">
        <f>IF(OR(H169="",I169=""),"",H169-I169)</f>
        <v/>
      </c>
      <c r="K169">
        <f>IF(H169="","",IF(H169&gt;=I169,"On target",IF(H169&gt;=0.7*I169,"Underpriced","Money loser")))</f>
        <v/>
      </c>
    </row>
    <row r="170">
      <c r="A170" s="12" t="n"/>
      <c r="B170" s="12" t="n"/>
      <c r="C170" s="3" t="n"/>
      <c r="D170" s="12" t="n"/>
      <c r="E170" s="12" t="n"/>
      <c r="F170" s="3" t="n"/>
      <c r="G170" s="13">
        <f>IF(C170="","",C170-IF(F170="",0,F170))</f>
        <v/>
      </c>
      <c r="H170" s="13">
        <f>IF(OR(C170="",E170="",E170=0),"",G170/E170)</f>
        <v/>
      </c>
      <c r="I170" s="13">
        <f>IF(C170="","",'Rate Calculator'!$B$16)</f>
        <v/>
      </c>
      <c r="J170" s="13">
        <f>IF(OR(H170="",I170=""),"",H170-I170)</f>
        <v/>
      </c>
      <c r="K170">
        <f>IF(H170="","",IF(H170&gt;=I170,"On target",IF(H170&gt;=0.7*I170,"Underpriced","Money loser")))</f>
        <v/>
      </c>
    </row>
    <row r="171">
      <c r="A171" s="12" t="n"/>
      <c r="B171" s="12" t="n"/>
      <c r="C171" s="3" t="n"/>
      <c r="D171" s="12" t="n"/>
      <c r="E171" s="12" t="n"/>
      <c r="F171" s="3" t="n"/>
      <c r="G171" s="13">
        <f>IF(C171="","",C171-IF(F171="",0,F171))</f>
        <v/>
      </c>
      <c r="H171" s="13">
        <f>IF(OR(C171="",E171="",E171=0),"",G171/E171)</f>
        <v/>
      </c>
      <c r="I171" s="13">
        <f>IF(C171="","",'Rate Calculator'!$B$16)</f>
        <v/>
      </c>
      <c r="J171" s="13">
        <f>IF(OR(H171="",I171=""),"",H171-I171)</f>
        <v/>
      </c>
      <c r="K171">
        <f>IF(H171="","",IF(H171&gt;=I171,"On target",IF(H171&gt;=0.7*I171,"Underpriced","Money loser")))</f>
        <v/>
      </c>
    </row>
    <row r="172">
      <c r="A172" s="12" t="n"/>
      <c r="B172" s="12" t="n"/>
      <c r="C172" s="3" t="n"/>
      <c r="D172" s="12" t="n"/>
      <c r="E172" s="12" t="n"/>
      <c r="F172" s="3" t="n"/>
      <c r="G172" s="13">
        <f>IF(C172="","",C172-IF(F172="",0,F172))</f>
        <v/>
      </c>
      <c r="H172" s="13">
        <f>IF(OR(C172="",E172="",E172=0),"",G172/E172)</f>
        <v/>
      </c>
      <c r="I172" s="13">
        <f>IF(C172="","",'Rate Calculator'!$B$16)</f>
        <v/>
      </c>
      <c r="J172" s="13">
        <f>IF(OR(H172="",I172=""),"",H172-I172)</f>
        <v/>
      </c>
      <c r="K172">
        <f>IF(H172="","",IF(H172&gt;=I172,"On target",IF(H172&gt;=0.7*I172,"Underpriced","Money loser")))</f>
        <v/>
      </c>
    </row>
    <row r="173">
      <c r="A173" s="12" t="n"/>
      <c r="B173" s="12" t="n"/>
      <c r="C173" s="3" t="n"/>
      <c r="D173" s="12" t="n"/>
      <c r="E173" s="12" t="n"/>
      <c r="F173" s="3" t="n"/>
      <c r="G173" s="13">
        <f>IF(C173="","",C173-IF(F173="",0,F173))</f>
        <v/>
      </c>
      <c r="H173" s="13">
        <f>IF(OR(C173="",E173="",E173=0),"",G173/E173)</f>
        <v/>
      </c>
      <c r="I173" s="13">
        <f>IF(C173="","",'Rate Calculator'!$B$16)</f>
        <v/>
      </c>
      <c r="J173" s="13">
        <f>IF(OR(H173="",I173=""),"",H173-I173)</f>
        <v/>
      </c>
      <c r="K173">
        <f>IF(H173="","",IF(H173&gt;=I173,"On target",IF(H173&gt;=0.7*I173,"Underpriced","Money loser")))</f>
        <v/>
      </c>
    </row>
    <row r="174">
      <c r="A174" s="12" t="n"/>
      <c r="B174" s="12" t="n"/>
      <c r="C174" s="3" t="n"/>
      <c r="D174" s="12" t="n"/>
      <c r="E174" s="12" t="n"/>
      <c r="F174" s="3" t="n"/>
      <c r="G174" s="13">
        <f>IF(C174="","",C174-IF(F174="",0,F174))</f>
        <v/>
      </c>
      <c r="H174" s="13">
        <f>IF(OR(C174="",E174="",E174=0),"",G174/E174)</f>
        <v/>
      </c>
      <c r="I174" s="13">
        <f>IF(C174="","",'Rate Calculator'!$B$16)</f>
        <v/>
      </c>
      <c r="J174" s="13">
        <f>IF(OR(H174="",I174=""),"",H174-I174)</f>
        <v/>
      </c>
      <c r="K174">
        <f>IF(H174="","",IF(H174&gt;=I174,"On target",IF(H174&gt;=0.7*I174,"Underpriced","Money loser")))</f>
        <v/>
      </c>
    </row>
    <row r="175">
      <c r="A175" s="12" t="n"/>
      <c r="B175" s="12" t="n"/>
      <c r="C175" s="3" t="n"/>
      <c r="D175" s="12" t="n"/>
      <c r="E175" s="12" t="n"/>
      <c r="F175" s="3" t="n"/>
      <c r="G175" s="13">
        <f>IF(C175="","",C175-IF(F175="",0,F175))</f>
        <v/>
      </c>
      <c r="H175" s="13">
        <f>IF(OR(C175="",E175="",E175=0),"",G175/E175)</f>
        <v/>
      </c>
      <c r="I175" s="13">
        <f>IF(C175="","",'Rate Calculator'!$B$16)</f>
        <v/>
      </c>
      <c r="J175" s="13">
        <f>IF(OR(H175="",I175=""),"",H175-I175)</f>
        <v/>
      </c>
      <c r="K175">
        <f>IF(H175="","",IF(H175&gt;=I175,"On target",IF(H175&gt;=0.7*I175,"Underpriced","Money loser")))</f>
        <v/>
      </c>
    </row>
    <row r="176">
      <c r="A176" s="12" t="n"/>
      <c r="B176" s="12" t="n"/>
      <c r="C176" s="3" t="n"/>
      <c r="D176" s="12" t="n"/>
      <c r="E176" s="12" t="n"/>
      <c r="F176" s="3" t="n"/>
      <c r="G176" s="13">
        <f>IF(C176="","",C176-IF(F176="",0,F176))</f>
        <v/>
      </c>
      <c r="H176" s="13">
        <f>IF(OR(C176="",E176="",E176=0),"",G176/E176)</f>
        <v/>
      </c>
      <c r="I176" s="13">
        <f>IF(C176="","",'Rate Calculator'!$B$16)</f>
        <v/>
      </c>
      <c r="J176" s="13">
        <f>IF(OR(H176="",I176=""),"",H176-I176)</f>
        <v/>
      </c>
      <c r="K176">
        <f>IF(H176="","",IF(H176&gt;=I176,"On target",IF(H176&gt;=0.7*I176,"Underpriced","Money loser")))</f>
        <v/>
      </c>
    </row>
    <row r="177">
      <c r="A177" s="12" t="n"/>
      <c r="B177" s="12" t="n"/>
      <c r="C177" s="3" t="n"/>
      <c r="D177" s="12" t="n"/>
      <c r="E177" s="12" t="n"/>
      <c r="F177" s="3" t="n"/>
      <c r="G177" s="13">
        <f>IF(C177="","",C177-IF(F177="",0,F177))</f>
        <v/>
      </c>
      <c r="H177" s="13">
        <f>IF(OR(C177="",E177="",E177=0),"",G177/E177)</f>
        <v/>
      </c>
      <c r="I177" s="13">
        <f>IF(C177="","",'Rate Calculator'!$B$16)</f>
        <v/>
      </c>
      <c r="J177" s="13">
        <f>IF(OR(H177="",I177=""),"",H177-I177)</f>
        <v/>
      </c>
      <c r="K177">
        <f>IF(H177="","",IF(H177&gt;=I177,"On target",IF(H177&gt;=0.7*I177,"Underpriced","Money loser")))</f>
        <v/>
      </c>
    </row>
    <row r="178">
      <c r="A178" s="12" t="n"/>
      <c r="B178" s="12" t="n"/>
      <c r="C178" s="3" t="n"/>
      <c r="D178" s="12" t="n"/>
      <c r="E178" s="12" t="n"/>
      <c r="F178" s="3" t="n"/>
      <c r="G178" s="13">
        <f>IF(C178="","",C178-IF(F178="",0,F178))</f>
        <v/>
      </c>
      <c r="H178" s="13">
        <f>IF(OR(C178="",E178="",E178=0),"",G178/E178)</f>
        <v/>
      </c>
      <c r="I178" s="13">
        <f>IF(C178="","",'Rate Calculator'!$B$16)</f>
        <v/>
      </c>
      <c r="J178" s="13">
        <f>IF(OR(H178="",I178=""),"",H178-I178)</f>
        <v/>
      </c>
      <c r="K178">
        <f>IF(H178="","",IF(H178&gt;=I178,"On target",IF(H178&gt;=0.7*I178,"Underpriced","Money loser")))</f>
        <v/>
      </c>
    </row>
    <row r="179">
      <c r="A179" s="12" t="n"/>
      <c r="B179" s="12" t="n"/>
      <c r="C179" s="3" t="n"/>
      <c r="D179" s="12" t="n"/>
      <c r="E179" s="12" t="n"/>
      <c r="F179" s="3" t="n"/>
      <c r="G179" s="13">
        <f>IF(C179="","",C179-IF(F179="",0,F179))</f>
        <v/>
      </c>
      <c r="H179" s="13">
        <f>IF(OR(C179="",E179="",E179=0),"",G179/E179)</f>
        <v/>
      </c>
      <c r="I179" s="13">
        <f>IF(C179="","",'Rate Calculator'!$B$16)</f>
        <v/>
      </c>
      <c r="J179" s="13">
        <f>IF(OR(H179="",I179=""),"",H179-I179)</f>
        <v/>
      </c>
      <c r="K179">
        <f>IF(H179="","",IF(H179&gt;=I179,"On target",IF(H179&gt;=0.7*I179,"Underpriced","Money loser")))</f>
        <v/>
      </c>
    </row>
    <row r="180">
      <c r="A180" s="12" t="n"/>
      <c r="B180" s="12" t="n"/>
      <c r="C180" s="3" t="n"/>
      <c r="D180" s="12" t="n"/>
      <c r="E180" s="12" t="n"/>
      <c r="F180" s="3" t="n"/>
      <c r="G180" s="13">
        <f>IF(C180="","",C180-IF(F180="",0,F180))</f>
        <v/>
      </c>
      <c r="H180" s="13">
        <f>IF(OR(C180="",E180="",E180=0),"",G180/E180)</f>
        <v/>
      </c>
      <c r="I180" s="13">
        <f>IF(C180="","",'Rate Calculator'!$B$16)</f>
        <v/>
      </c>
      <c r="J180" s="13">
        <f>IF(OR(H180="",I180=""),"",H180-I180)</f>
        <v/>
      </c>
      <c r="K180">
        <f>IF(H180="","",IF(H180&gt;=I180,"On target",IF(H180&gt;=0.7*I180,"Underpriced","Money loser")))</f>
        <v/>
      </c>
    </row>
    <row r="181">
      <c r="A181" s="12" t="n"/>
      <c r="B181" s="12" t="n"/>
      <c r="C181" s="3" t="n"/>
      <c r="D181" s="12" t="n"/>
      <c r="E181" s="12" t="n"/>
      <c r="F181" s="3" t="n"/>
      <c r="G181" s="13">
        <f>IF(C181="","",C181-IF(F181="",0,F181))</f>
        <v/>
      </c>
      <c r="H181" s="13">
        <f>IF(OR(C181="",E181="",E181=0),"",G181/E181)</f>
        <v/>
      </c>
      <c r="I181" s="13">
        <f>IF(C181="","",'Rate Calculator'!$B$16)</f>
        <v/>
      </c>
      <c r="J181" s="13">
        <f>IF(OR(H181="",I181=""),"",H181-I181)</f>
        <v/>
      </c>
      <c r="K181">
        <f>IF(H181="","",IF(H181&gt;=I181,"On target",IF(H181&gt;=0.7*I181,"Underpriced","Money loser")))</f>
        <v/>
      </c>
    </row>
    <row r="182">
      <c r="A182" s="12" t="n"/>
      <c r="B182" s="12" t="n"/>
      <c r="C182" s="3" t="n"/>
      <c r="D182" s="12" t="n"/>
      <c r="E182" s="12" t="n"/>
      <c r="F182" s="3" t="n"/>
      <c r="G182" s="13">
        <f>IF(C182="","",C182-IF(F182="",0,F182))</f>
        <v/>
      </c>
      <c r="H182" s="13">
        <f>IF(OR(C182="",E182="",E182=0),"",G182/E182)</f>
        <v/>
      </c>
      <c r="I182" s="13">
        <f>IF(C182="","",'Rate Calculator'!$B$16)</f>
        <v/>
      </c>
      <c r="J182" s="13">
        <f>IF(OR(H182="",I182=""),"",H182-I182)</f>
        <v/>
      </c>
      <c r="K182">
        <f>IF(H182="","",IF(H182&gt;=I182,"On target",IF(H182&gt;=0.7*I182,"Underpriced","Money loser")))</f>
        <v/>
      </c>
    </row>
    <row r="183">
      <c r="A183" s="12" t="n"/>
      <c r="B183" s="12" t="n"/>
      <c r="C183" s="3" t="n"/>
      <c r="D183" s="12" t="n"/>
      <c r="E183" s="12" t="n"/>
      <c r="F183" s="3" t="n"/>
      <c r="G183" s="13">
        <f>IF(C183="","",C183-IF(F183="",0,F183))</f>
        <v/>
      </c>
      <c r="H183" s="13">
        <f>IF(OR(C183="",E183="",E183=0),"",G183/E183)</f>
        <v/>
      </c>
      <c r="I183" s="13">
        <f>IF(C183="","",'Rate Calculator'!$B$16)</f>
        <v/>
      </c>
      <c r="J183" s="13">
        <f>IF(OR(H183="",I183=""),"",H183-I183)</f>
        <v/>
      </c>
      <c r="K183">
        <f>IF(H183="","",IF(H183&gt;=I183,"On target",IF(H183&gt;=0.7*I183,"Underpriced","Money loser")))</f>
        <v/>
      </c>
    </row>
    <row r="184">
      <c r="A184" s="12" t="n"/>
      <c r="B184" s="12" t="n"/>
      <c r="C184" s="3" t="n"/>
      <c r="D184" s="12" t="n"/>
      <c r="E184" s="12" t="n"/>
      <c r="F184" s="3" t="n"/>
      <c r="G184" s="13">
        <f>IF(C184="","",C184-IF(F184="",0,F184))</f>
        <v/>
      </c>
      <c r="H184" s="13">
        <f>IF(OR(C184="",E184="",E184=0),"",G184/E184)</f>
        <v/>
      </c>
      <c r="I184" s="13">
        <f>IF(C184="","",'Rate Calculator'!$B$16)</f>
        <v/>
      </c>
      <c r="J184" s="13">
        <f>IF(OR(H184="",I184=""),"",H184-I184)</f>
        <v/>
      </c>
      <c r="K184">
        <f>IF(H184="","",IF(H184&gt;=I184,"On target",IF(H184&gt;=0.7*I184,"Underpriced","Money loser")))</f>
        <v/>
      </c>
    </row>
    <row r="185">
      <c r="A185" s="12" t="n"/>
      <c r="B185" s="12" t="n"/>
      <c r="C185" s="3" t="n"/>
      <c r="D185" s="12" t="n"/>
      <c r="E185" s="12" t="n"/>
      <c r="F185" s="3" t="n"/>
      <c r="G185" s="13">
        <f>IF(C185="","",C185-IF(F185="",0,F185))</f>
        <v/>
      </c>
      <c r="H185" s="13">
        <f>IF(OR(C185="",E185="",E185=0),"",G185/E185)</f>
        <v/>
      </c>
      <c r="I185" s="13">
        <f>IF(C185="","",'Rate Calculator'!$B$16)</f>
        <v/>
      </c>
      <c r="J185" s="13">
        <f>IF(OR(H185="",I185=""),"",H185-I185)</f>
        <v/>
      </c>
      <c r="K185">
        <f>IF(H185="","",IF(H185&gt;=I185,"On target",IF(H185&gt;=0.7*I185,"Underpriced","Money loser")))</f>
        <v/>
      </c>
    </row>
    <row r="186">
      <c r="A186" s="12" t="n"/>
      <c r="B186" s="12" t="n"/>
      <c r="C186" s="3" t="n"/>
      <c r="D186" s="12" t="n"/>
      <c r="E186" s="12" t="n"/>
      <c r="F186" s="3" t="n"/>
      <c r="G186" s="13">
        <f>IF(C186="","",C186-IF(F186="",0,F186))</f>
        <v/>
      </c>
      <c r="H186" s="13">
        <f>IF(OR(C186="",E186="",E186=0),"",G186/E186)</f>
        <v/>
      </c>
      <c r="I186" s="13">
        <f>IF(C186="","",'Rate Calculator'!$B$16)</f>
        <v/>
      </c>
      <c r="J186" s="13">
        <f>IF(OR(H186="",I186=""),"",H186-I186)</f>
        <v/>
      </c>
      <c r="K186">
        <f>IF(H186="","",IF(H186&gt;=I186,"On target",IF(H186&gt;=0.7*I186,"Underpriced","Money loser")))</f>
        <v/>
      </c>
    </row>
    <row r="187">
      <c r="A187" s="12" t="n"/>
      <c r="B187" s="12" t="n"/>
      <c r="C187" s="3" t="n"/>
      <c r="D187" s="12" t="n"/>
      <c r="E187" s="12" t="n"/>
      <c r="F187" s="3" t="n"/>
      <c r="G187" s="13">
        <f>IF(C187="","",C187-IF(F187="",0,F187))</f>
        <v/>
      </c>
      <c r="H187" s="13">
        <f>IF(OR(C187="",E187="",E187=0),"",G187/E187)</f>
        <v/>
      </c>
      <c r="I187" s="13">
        <f>IF(C187="","",'Rate Calculator'!$B$16)</f>
        <v/>
      </c>
      <c r="J187" s="13">
        <f>IF(OR(H187="",I187=""),"",H187-I187)</f>
        <v/>
      </c>
      <c r="K187">
        <f>IF(H187="","",IF(H187&gt;=I187,"On target",IF(H187&gt;=0.7*I187,"Underpriced","Money loser")))</f>
        <v/>
      </c>
    </row>
    <row r="188">
      <c r="A188" s="12" t="n"/>
      <c r="B188" s="12" t="n"/>
      <c r="C188" s="3" t="n"/>
      <c r="D188" s="12" t="n"/>
      <c r="E188" s="12" t="n"/>
      <c r="F188" s="3" t="n"/>
      <c r="G188" s="13">
        <f>IF(C188="","",C188-IF(F188="",0,F188))</f>
        <v/>
      </c>
      <c r="H188" s="13">
        <f>IF(OR(C188="",E188="",E188=0),"",G188/E188)</f>
        <v/>
      </c>
      <c r="I188" s="13">
        <f>IF(C188="","",'Rate Calculator'!$B$16)</f>
        <v/>
      </c>
      <c r="J188" s="13">
        <f>IF(OR(H188="",I188=""),"",H188-I188)</f>
        <v/>
      </c>
      <c r="K188">
        <f>IF(H188="","",IF(H188&gt;=I188,"On target",IF(H188&gt;=0.7*I188,"Underpriced","Money loser")))</f>
        <v/>
      </c>
    </row>
    <row r="189">
      <c r="A189" s="12" t="n"/>
      <c r="B189" s="12" t="n"/>
      <c r="C189" s="3" t="n"/>
      <c r="D189" s="12" t="n"/>
      <c r="E189" s="12" t="n"/>
      <c r="F189" s="3" t="n"/>
      <c r="G189" s="13">
        <f>IF(C189="","",C189-IF(F189="",0,F189))</f>
        <v/>
      </c>
      <c r="H189" s="13">
        <f>IF(OR(C189="",E189="",E189=0),"",G189/E189)</f>
        <v/>
      </c>
      <c r="I189" s="13">
        <f>IF(C189="","",'Rate Calculator'!$B$16)</f>
        <v/>
      </c>
      <c r="J189" s="13">
        <f>IF(OR(H189="",I189=""),"",H189-I189)</f>
        <v/>
      </c>
      <c r="K189">
        <f>IF(H189="","",IF(H189&gt;=I189,"On target",IF(H189&gt;=0.7*I189,"Underpriced","Money loser")))</f>
        <v/>
      </c>
    </row>
    <row r="190">
      <c r="A190" s="12" t="n"/>
      <c r="B190" s="12" t="n"/>
      <c r="C190" s="3" t="n"/>
      <c r="D190" s="12" t="n"/>
      <c r="E190" s="12" t="n"/>
      <c r="F190" s="3" t="n"/>
      <c r="G190" s="13">
        <f>IF(C190="","",C190-IF(F190="",0,F190))</f>
        <v/>
      </c>
      <c r="H190" s="13">
        <f>IF(OR(C190="",E190="",E190=0),"",G190/E190)</f>
        <v/>
      </c>
      <c r="I190" s="13">
        <f>IF(C190="","",'Rate Calculator'!$B$16)</f>
        <v/>
      </c>
      <c r="J190" s="13">
        <f>IF(OR(H190="",I190=""),"",H190-I190)</f>
        <v/>
      </c>
      <c r="K190">
        <f>IF(H190="","",IF(H190&gt;=I190,"On target",IF(H190&gt;=0.7*I190,"Underpriced","Money loser")))</f>
        <v/>
      </c>
    </row>
    <row r="191">
      <c r="A191" s="12" t="n"/>
      <c r="B191" s="12" t="n"/>
      <c r="C191" s="3" t="n"/>
      <c r="D191" s="12" t="n"/>
      <c r="E191" s="12" t="n"/>
      <c r="F191" s="3" t="n"/>
      <c r="G191" s="13">
        <f>IF(C191="","",C191-IF(F191="",0,F191))</f>
        <v/>
      </c>
      <c r="H191" s="13">
        <f>IF(OR(C191="",E191="",E191=0),"",G191/E191)</f>
        <v/>
      </c>
      <c r="I191" s="13">
        <f>IF(C191="","",'Rate Calculator'!$B$16)</f>
        <v/>
      </c>
      <c r="J191" s="13">
        <f>IF(OR(H191="",I191=""),"",H191-I191)</f>
        <v/>
      </c>
      <c r="K191">
        <f>IF(H191="","",IF(H191&gt;=I191,"On target",IF(H191&gt;=0.7*I191,"Underpriced","Money loser")))</f>
        <v/>
      </c>
    </row>
    <row r="192">
      <c r="A192" s="12" t="n"/>
      <c r="B192" s="12" t="n"/>
      <c r="C192" s="3" t="n"/>
      <c r="D192" s="12" t="n"/>
      <c r="E192" s="12" t="n"/>
      <c r="F192" s="3" t="n"/>
      <c r="G192" s="13">
        <f>IF(C192="","",C192-IF(F192="",0,F192))</f>
        <v/>
      </c>
      <c r="H192" s="13">
        <f>IF(OR(C192="",E192="",E192=0),"",G192/E192)</f>
        <v/>
      </c>
      <c r="I192" s="13">
        <f>IF(C192="","",'Rate Calculator'!$B$16)</f>
        <v/>
      </c>
      <c r="J192" s="13">
        <f>IF(OR(H192="",I192=""),"",H192-I192)</f>
        <v/>
      </c>
      <c r="K192">
        <f>IF(H192="","",IF(H192&gt;=I192,"On target",IF(H192&gt;=0.7*I192,"Underpriced","Money loser")))</f>
        <v/>
      </c>
    </row>
    <row r="193">
      <c r="A193" s="12" t="n"/>
      <c r="B193" s="12" t="n"/>
      <c r="C193" s="3" t="n"/>
      <c r="D193" s="12" t="n"/>
      <c r="E193" s="12" t="n"/>
      <c r="F193" s="3" t="n"/>
      <c r="G193" s="13">
        <f>IF(C193="","",C193-IF(F193="",0,F193))</f>
        <v/>
      </c>
      <c r="H193" s="13">
        <f>IF(OR(C193="",E193="",E193=0),"",G193/E193)</f>
        <v/>
      </c>
      <c r="I193" s="13">
        <f>IF(C193="","",'Rate Calculator'!$B$16)</f>
        <v/>
      </c>
      <c r="J193" s="13">
        <f>IF(OR(H193="",I193=""),"",H193-I193)</f>
        <v/>
      </c>
      <c r="K193">
        <f>IF(H193="","",IF(H193&gt;=I193,"On target",IF(H193&gt;=0.7*I193,"Underpriced","Money loser")))</f>
        <v/>
      </c>
    </row>
    <row r="194">
      <c r="A194" s="12" t="n"/>
      <c r="B194" s="12" t="n"/>
      <c r="C194" s="3" t="n"/>
      <c r="D194" s="12" t="n"/>
      <c r="E194" s="12" t="n"/>
      <c r="F194" s="3" t="n"/>
      <c r="G194" s="13">
        <f>IF(C194="","",C194-IF(F194="",0,F194))</f>
        <v/>
      </c>
      <c r="H194" s="13">
        <f>IF(OR(C194="",E194="",E194=0),"",G194/E194)</f>
        <v/>
      </c>
      <c r="I194" s="13">
        <f>IF(C194="","",'Rate Calculator'!$B$16)</f>
        <v/>
      </c>
      <c r="J194" s="13">
        <f>IF(OR(H194="",I194=""),"",H194-I194)</f>
        <v/>
      </c>
      <c r="K194">
        <f>IF(H194="","",IF(H194&gt;=I194,"On target",IF(H194&gt;=0.7*I194,"Underpriced","Money loser")))</f>
        <v/>
      </c>
    </row>
    <row r="195">
      <c r="A195" s="12" t="n"/>
      <c r="B195" s="12" t="n"/>
      <c r="C195" s="3" t="n"/>
      <c r="D195" s="12" t="n"/>
      <c r="E195" s="12" t="n"/>
      <c r="F195" s="3" t="n"/>
      <c r="G195" s="13">
        <f>IF(C195="","",C195-IF(F195="",0,F195))</f>
        <v/>
      </c>
      <c r="H195" s="13">
        <f>IF(OR(C195="",E195="",E195=0),"",G195/E195)</f>
        <v/>
      </c>
      <c r="I195" s="13">
        <f>IF(C195="","",'Rate Calculator'!$B$16)</f>
        <v/>
      </c>
      <c r="J195" s="13">
        <f>IF(OR(H195="",I195=""),"",H195-I195)</f>
        <v/>
      </c>
      <c r="K195">
        <f>IF(H195="","",IF(H195&gt;=I195,"On target",IF(H195&gt;=0.7*I195,"Underpriced","Money loser")))</f>
        <v/>
      </c>
    </row>
    <row r="196">
      <c r="A196" s="12" t="n"/>
      <c r="B196" s="12" t="n"/>
      <c r="C196" s="3" t="n"/>
      <c r="D196" s="12" t="n"/>
      <c r="E196" s="12" t="n"/>
      <c r="F196" s="3" t="n"/>
      <c r="G196" s="13">
        <f>IF(C196="","",C196-IF(F196="",0,F196))</f>
        <v/>
      </c>
      <c r="H196" s="13">
        <f>IF(OR(C196="",E196="",E196=0),"",G196/E196)</f>
        <v/>
      </c>
      <c r="I196" s="13">
        <f>IF(C196="","",'Rate Calculator'!$B$16)</f>
        <v/>
      </c>
      <c r="J196" s="13">
        <f>IF(OR(H196="",I196=""),"",H196-I196)</f>
        <v/>
      </c>
      <c r="K196">
        <f>IF(H196="","",IF(H196&gt;=I196,"On target",IF(H196&gt;=0.7*I196,"Underpriced","Money loser")))</f>
        <v/>
      </c>
    </row>
    <row r="197">
      <c r="A197" s="12" t="n"/>
      <c r="B197" s="12" t="n"/>
      <c r="C197" s="3" t="n"/>
      <c r="D197" s="12" t="n"/>
      <c r="E197" s="12" t="n"/>
      <c r="F197" s="3" t="n"/>
      <c r="G197" s="13">
        <f>IF(C197="","",C197-IF(F197="",0,F197))</f>
        <v/>
      </c>
      <c r="H197" s="13">
        <f>IF(OR(C197="",E197="",E197=0),"",G197/E197)</f>
        <v/>
      </c>
      <c r="I197" s="13">
        <f>IF(C197="","",'Rate Calculator'!$B$16)</f>
        <v/>
      </c>
      <c r="J197" s="13">
        <f>IF(OR(H197="",I197=""),"",H197-I197)</f>
        <v/>
      </c>
      <c r="K197">
        <f>IF(H197="","",IF(H197&gt;=I197,"On target",IF(H197&gt;=0.7*I197,"Underpriced","Money loser")))</f>
        <v/>
      </c>
    </row>
    <row r="198">
      <c r="A198" s="12" t="n"/>
      <c r="B198" s="12" t="n"/>
      <c r="C198" s="3" t="n"/>
      <c r="D198" s="12" t="n"/>
      <c r="E198" s="12" t="n"/>
      <c r="F198" s="3" t="n"/>
      <c r="G198" s="13">
        <f>IF(C198="","",C198-IF(F198="",0,F198))</f>
        <v/>
      </c>
      <c r="H198" s="13">
        <f>IF(OR(C198="",E198="",E198=0),"",G198/E198)</f>
        <v/>
      </c>
      <c r="I198" s="13">
        <f>IF(C198="","",'Rate Calculator'!$B$16)</f>
        <v/>
      </c>
      <c r="J198" s="13">
        <f>IF(OR(H198="",I198=""),"",H198-I198)</f>
        <v/>
      </c>
      <c r="K198">
        <f>IF(H198="","",IF(H198&gt;=I198,"On target",IF(H198&gt;=0.7*I198,"Underpriced","Money loser")))</f>
        <v/>
      </c>
    </row>
    <row r="199">
      <c r="A199" s="12" t="n"/>
      <c r="B199" s="12" t="n"/>
      <c r="C199" s="3" t="n"/>
      <c r="D199" s="12" t="n"/>
      <c r="E199" s="12" t="n"/>
      <c r="F199" s="3" t="n"/>
      <c r="G199" s="13">
        <f>IF(C199="","",C199-IF(F199="",0,F199))</f>
        <v/>
      </c>
      <c r="H199" s="13">
        <f>IF(OR(C199="",E199="",E199=0),"",G199/E199)</f>
        <v/>
      </c>
      <c r="I199" s="13">
        <f>IF(C199="","",'Rate Calculator'!$B$16)</f>
        <v/>
      </c>
      <c r="J199" s="13">
        <f>IF(OR(H199="",I199=""),"",H199-I199)</f>
        <v/>
      </c>
      <c r="K199">
        <f>IF(H199="","",IF(H199&gt;=I199,"On target",IF(H199&gt;=0.7*I199,"Underpriced","Money loser")))</f>
        <v/>
      </c>
    </row>
    <row r="200">
      <c r="A200" s="12" t="n"/>
      <c r="B200" s="12" t="n"/>
      <c r="C200" s="3" t="n"/>
      <c r="D200" s="12" t="n"/>
      <c r="E200" s="12" t="n"/>
      <c r="F200" s="3" t="n"/>
      <c r="G200" s="13">
        <f>IF(C200="","",C200-IF(F200="",0,F200))</f>
        <v/>
      </c>
      <c r="H200" s="13">
        <f>IF(OR(C200="",E200="",E200=0),"",G200/E200)</f>
        <v/>
      </c>
      <c r="I200" s="13">
        <f>IF(C200="","",'Rate Calculator'!$B$16)</f>
        <v/>
      </c>
      <c r="J200" s="13">
        <f>IF(OR(H200="",I200=""),"",H200-I200)</f>
        <v/>
      </c>
      <c r="K200">
        <f>IF(H200="","",IF(H200&gt;=I200,"On target",IF(H200&gt;=0.7*I200,"Underpriced","Money loser")))</f>
        <v/>
      </c>
    </row>
    <row r="201">
      <c r="A201" s="12" t="n"/>
      <c r="B201" s="12" t="n"/>
      <c r="C201" s="3" t="n"/>
      <c r="D201" s="12" t="n"/>
      <c r="E201" s="12" t="n"/>
      <c r="F201" s="3" t="n"/>
      <c r="G201" s="13">
        <f>IF(C201="","",C201-IF(F201="",0,F201))</f>
        <v/>
      </c>
      <c r="H201" s="13">
        <f>IF(OR(C201="",E201="",E201=0),"",G201/E201)</f>
        <v/>
      </c>
      <c r="I201" s="13">
        <f>IF(C201="","",'Rate Calculator'!$B$16)</f>
        <v/>
      </c>
      <c r="J201" s="13">
        <f>IF(OR(H201="",I201=""),"",H201-I201)</f>
        <v/>
      </c>
      <c r="K201">
        <f>IF(H201="","",IF(H201&gt;=I201,"On target",IF(H201&gt;=0.7*I201,"Underpriced","Money loser")))</f>
        <v/>
      </c>
    </row>
    <row r="202">
      <c r="A202" s="12" t="n"/>
      <c r="B202" s="12" t="n"/>
      <c r="C202" s="3" t="n"/>
      <c r="D202" s="12" t="n"/>
      <c r="E202" s="12" t="n"/>
      <c r="F202" s="3" t="n"/>
      <c r="G202" s="13">
        <f>IF(C202="","",C202-IF(F202="",0,F202))</f>
        <v/>
      </c>
      <c r="H202" s="13">
        <f>IF(OR(C202="",E202="",E202=0),"",G202/E202)</f>
        <v/>
      </c>
      <c r="I202" s="13">
        <f>IF(C202="","",'Rate Calculator'!$B$16)</f>
        <v/>
      </c>
      <c r="J202" s="13">
        <f>IF(OR(H202="",I202=""),"",H202-I202)</f>
        <v/>
      </c>
      <c r="K202">
        <f>IF(H202="","",IF(H202&gt;=I202,"On target",IF(H202&gt;=0.7*I202,"Underpriced","Money loser")))</f>
        <v/>
      </c>
    </row>
    <row r="203">
      <c r="A203" s="12" t="n"/>
      <c r="B203" s="12" t="n"/>
      <c r="C203" s="3" t="n"/>
      <c r="D203" s="12" t="n"/>
      <c r="E203" s="12" t="n"/>
      <c r="F203" s="3" t="n"/>
      <c r="G203" s="13">
        <f>IF(C203="","",C203-IF(F203="",0,F203))</f>
        <v/>
      </c>
      <c r="H203" s="13">
        <f>IF(OR(C203="",E203="",E203=0),"",G203/E203)</f>
        <v/>
      </c>
      <c r="I203" s="13">
        <f>IF(C203="","",'Rate Calculator'!$B$16)</f>
        <v/>
      </c>
      <c r="J203" s="13">
        <f>IF(OR(H203="",I203=""),"",H203-I203)</f>
        <v/>
      </c>
      <c r="K203">
        <f>IF(H203="","",IF(H203&gt;=I203,"On target",IF(H203&gt;=0.7*I203,"Underpriced","Money loser")))</f>
        <v/>
      </c>
    </row>
    <row r="204">
      <c r="A204" s="12" t="n"/>
      <c r="B204" s="12" t="n"/>
      <c r="C204" s="3" t="n"/>
      <c r="D204" s="12" t="n"/>
      <c r="E204" s="12" t="n"/>
      <c r="F204" s="3" t="n"/>
      <c r="G204" s="13">
        <f>IF(C204="","",C204-IF(F204="",0,F204))</f>
        <v/>
      </c>
      <c r="H204" s="13">
        <f>IF(OR(C204="",E204="",E204=0),"",G204/E204)</f>
        <v/>
      </c>
      <c r="I204" s="13">
        <f>IF(C204="","",'Rate Calculator'!$B$16)</f>
        <v/>
      </c>
      <c r="J204" s="13">
        <f>IF(OR(H204="",I204=""),"",H204-I204)</f>
        <v/>
      </c>
      <c r="K204">
        <f>IF(H204="","",IF(H204&gt;=I204,"On target",IF(H204&gt;=0.7*I204,"Underpriced","Money loser")))</f>
        <v/>
      </c>
    </row>
  </sheetData>
  <conditionalFormatting sqref="K5:K204">
    <cfRule type="cellIs" priority="1" operator="equal" dxfId="0">
      <formula>"Money loser"</formula>
    </cfRule>
    <cfRule type="cellIs" priority="2" operator="equal" dxfId="1">
      <formula>"On target"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34" customWidth="1" min="5" max="5"/>
    <col width="14" customWidth="1" min="6" max="6"/>
    <col width="16" customWidth="1" min="8" max="8"/>
  </cols>
  <sheetData>
    <row r="1">
      <c r="A1" s="1" t="inlineStr">
        <is>
          <t>Time log</t>
        </is>
      </c>
    </row>
    <row r="2">
      <c r="A2" s="2" t="inlineStr">
        <is>
          <t>Log hours per project. Weekly total shows your real billable load.</t>
        </is>
      </c>
    </row>
    <row r="4" ht="30" customHeight="1">
      <c r="A4" s="10" t="inlineStr">
        <is>
          <t>Date</t>
        </is>
      </c>
      <c r="B4" s="10" t="inlineStr">
        <is>
          <t>Project</t>
        </is>
      </c>
      <c r="C4" s="10" t="inlineStr">
        <is>
          <t>Hours</t>
        </is>
      </c>
      <c r="D4" s="10" t="inlineStr">
        <is>
          <t>Billable? (Y/N)</t>
        </is>
      </c>
      <c r="E4" s="10" t="inlineStr">
        <is>
          <t>Notes</t>
        </is>
      </c>
      <c r="F4" s="10" t="inlineStr">
        <is>
          <t>Week starts</t>
        </is>
      </c>
      <c r="H4" t="inlineStr">
        <is>
          <t>Total hours</t>
        </is>
      </c>
      <c r="I4">
        <f>SUM(C5:C504)</f>
        <v/>
      </c>
    </row>
    <row r="5">
      <c r="A5" s="14" t="n">
        <v>46272</v>
      </c>
      <c r="B5" s="12" t="inlineStr">
        <is>
          <t>Logo pack</t>
        </is>
      </c>
      <c r="C5" s="12" t="n">
        <v>5</v>
      </c>
      <c r="D5" s="12" t="inlineStr">
        <is>
          <t>Y</t>
        </is>
      </c>
      <c r="E5" s="12" t="inlineStr">
        <is>
          <t>sketches</t>
        </is>
      </c>
      <c r="F5" s="15">
        <f>IF(A5="","",A5-WEEKDAY(A5,2)+1)</f>
        <v/>
      </c>
      <c r="H5" t="inlineStr">
        <is>
          <t>Billable hours</t>
        </is>
      </c>
      <c r="I5">
        <f>SUMIFS(C5:C504,D5:D504,"Y")</f>
        <v/>
      </c>
    </row>
    <row r="6">
      <c r="A6" s="14" t="n">
        <v>46273</v>
      </c>
      <c r="B6" s="12" t="inlineStr">
        <is>
          <t>Website</t>
        </is>
      </c>
      <c r="C6" s="12" t="n">
        <v>6</v>
      </c>
      <c r="D6" s="12" t="inlineStr">
        <is>
          <t>Y</t>
        </is>
      </c>
      <c r="E6" s="12" t="inlineStr"/>
      <c r="F6" s="15">
        <f>IF(A6="","",A6-WEEKDAY(A6,2)+1)</f>
        <v/>
      </c>
      <c r="H6" t="inlineStr">
        <is>
          <t>Billable share</t>
        </is>
      </c>
      <c r="I6" s="16">
        <f>IF(I4=0,0,I5/I4)</f>
        <v/>
      </c>
    </row>
    <row r="7">
      <c r="A7" s="14" t="n">
        <v>46274</v>
      </c>
      <c r="B7" s="12" t="inlineStr">
        <is>
          <t>Admin</t>
        </is>
      </c>
      <c r="C7" s="12" t="n">
        <v>2</v>
      </c>
      <c r="D7" s="12" t="inlineStr">
        <is>
          <t>N</t>
        </is>
      </c>
      <c r="E7" s="12" t="inlineStr">
        <is>
          <t>invoicing</t>
        </is>
      </c>
      <c r="F7" s="15">
        <f>IF(A7="","",A7-WEEKDAY(A7,2)+1)</f>
        <v/>
      </c>
    </row>
    <row r="8">
      <c r="A8" s="14" t="n">
        <v>46279</v>
      </c>
      <c r="B8" s="12" t="inlineStr">
        <is>
          <t>Website</t>
        </is>
      </c>
      <c r="C8" s="12" t="n">
        <v>4</v>
      </c>
      <c r="D8" s="12" t="inlineStr">
        <is>
          <t>Y</t>
        </is>
      </c>
      <c r="E8" s="12" t="inlineStr"/>
      <c r="F8" s="15">
        <f>IF(A8="","",A8-WEEKDAY(A8,2)+1)</f>
        <v/>
      </c>
    </row>
    <row r="9">
      <c r="A9" s="14" t="n"/>
      <c r="B9" s="12" t="n"/>
      <c r="C9" s="12" t="n"/>
      <c r="D9" s="12" t="n"/>
      <c r="E9" s="12" t="n"/>
      <c r="F9" s="15">
        <f>IF(A9="","",A9-WEEKDAY(A9,2)+1)</f>
        <v/>
      </c>
    </row>
    <row r="10">
      <c r="A10" s="14" t="n"/>
      <c r="B10" s="12" t="n"/>
      <c r="C10" s="12" t="n"/>
      <c r="D10" s="12" t="n"/>
      <c r="E10" s="12" t="n"/>
      <c r="F10" s="15">
        <f>IF(A10="","",A10-WEEKDAY(A10,2)+1)</f>
        <v/>
      </c>
    </row>
    <row r="11">
      <c r="A11" s="14" t="n"/>
      <c r="B11" s="12" t="n"/>
      <c r="C11" s="12" t="n"/>
      <c r="D11" s="12" t="n"/>
      <c r="E11" s="12" t="n"/>
      <c r="F11" s="15">
        <f>IF(A11="","",A11-WEEKDAY(A11,2)+1)</f>
        <v/>
      </c>
    </row>
    <row r="12">
      <c r="A12" s="14" t="n"/>
      <c r="B12" s="12" t="n"/>
      <c r="C12" s="12" t="n"/>
      <c r="D12" s="12" t="n"/>
      <c r="E12" s="12" t="n"/>
      <c r="F12" s="15">
        <f>IF(A12="","",A12-WEEKDAY(A12,2)+1)</f>
        <v/>
      </c>
    </row>
    <row r="13">
      <c r="A13" s="14" t="n"/>
      <c r="B13" s="12" t="n"/>
      <c r="C13" s="12" t="n"/>
      <c r="D13" s="12" t="n"/>
      <c r="E13" s="12" t="n"/>
      <c r="F13" s="15">
        <f>IF(A13="","",A13-WEEKDAY(A13,2)+1)</f>
        <v/>
      </c>
    </row>
    <row r="14">
      <c r="A14" s="14" t="n"/>
      <c r="B14" s="12" t="n"/>
      <c r="C14" s="12" t="n"/>
      <c r="D14" s="12" t="n"/>
      <c r="E14" s="12" t="n"/>
      <c r="F14" s="15">
        <f>IF(A14="","",A14-WEEKDAY(A14,2)+1)</f>
        <v/>
      </c>
    </row>
    <row r="15">
      <c r="A15" s="14" t="n"/>
      <c r="B15" s="12" t="n"/>
      <c r="C15" s="12" t="n"/>
      <c r="D15" s="12" t="n"/>
      <c r="E15" s="12" t="n"/>
      <c r="F15" s="15">
        <f>IF(A15="","",A15-WEEKDAY(A15,2)+1)</f>
        <v/>
      </c>
    </row>
    <row r="16">
      <c r="A16" s="14" t="n"/>
      <c r="B16" s="12" t="n"/>
      <c r="C16" s="12" t="n"/>
      <c r="D16" s="12" t="n"/>
      <c r="E16" s="12" t="n"/>
      <c r="F16" s="15">
        <f>IF(A16="","",A16-WEEKDAY(A16,2)+1)</f>
        <v/>
      </c>
    </row>
    <row r="17">
      <c r="A17" s="14" t="n"/>
      <c r="B17" s="12" t="n"/>
      <c r="C17" s="12" t="n"/>
      <c r="D17" s="12" t="n"/>
      <c r="E17" s="12" t="n"/>
      <c r="F17" s="15">
        <f>IF(A17="","",A17-WEEKDAY(A17,2)+1)</f>
        <v/>
      </c>
    </row>
    <row r="18">
      <c r="A18" s="14" t="n"/>
      <c r="B18" s="12" t="n"/>
      <c r="C18" s="12" t="n"/>
      <c r="D18" s="12" t="n"/>
      <c r="E18" s="12" t="n"/>
      <c r="F18" s="15">
        <f>IF(A18="","",A18-WEEKDAY(A18,2)+1)</f>
        <v/>
      </c>
    </row>
    <row r="19">
      <c r="A19" s="14" t="n"/>
      <c r="B19" s="12" t="n"/>
      <c r="C19" s="12" t="n"/>
      <c r="D19" s="12" t="n"/>
      <c r="E19" s="12" t="n"/>
      <c r="F19" s="15">
        <f>IF(A19="","",A19-WEEKDAY(A19,2)+1)</f>
        <v/>
      </c>
    </row>
    <row r="20">
      <c r="A20" s="14" t="n"/>
      <c r="B20" s="12" t="n"/>
      <c r="C20" s="12" t="n"/>
      <c r="D20" s="12" t="n"/>
      <c r="E20" s="12" t="n"/>
      <c r="F20" s="15">
        <f>IF(A20="","",A20-WEEKDAY(A20,2)+1)</f>
        <v/>
      </c>
    </row>
    <row r="21">
      <c r="A21" s="14" t="n"/>
      <c r="B21" s="12" t="n"/>
      <c r="C21" s="12" t="n"/>
      <c r="D21" s="12" t="n"/>
      <c r="E21" s="12" t="n"/>
      <c r="F21" s="15">
        <f>IF(A21="","",A21-WEEKDAY(A21,2)+1)</f>
        <v/>
      </c>
    </row>
    <row r="22">
      <c r="A22" s="14" t="n"/>
      <c r="B22" s="12" t="n"/>
      <c r="C22" s="12" t="n"/>
      <c r="D22" s="12" t="n"/>
      <c r="E22" s="12" t="n"/>
      <c r="F22" s="15">
        <f>IF(A22="","",A22-WEEKDAY(A22,2)+1)</f>
        <v/>
      </c>
    </row>
    <row r="23">
      <c r="A23" s="14" t="n"/>
      <c r="B23" s="12" t="n"/>
      <c r="C23" s="12" t="n"/>
      <c r="D23" s="12" t="n"/>
      <c r="E23" s="12" t="n"/>
      <c r="F23" s="15">
        <f>IF(A23="","",A23-WEEKDAY(A23,2)+1)</f>
        <v/>
      </c>
    </row>
    <row r="24">
      <c r="A24" s="14" t="n"/>
      <c r="B24" s="12" t="n"/>
      <c r="C24" s="12" t="n"/>
      <c r="D24" s="12" t="n"/>
      <c r="E24" s="12" t="n"/>
      <c r="F24" s="15">
        <f>IF(A24="","",A24-WEEKDAY(A24,2)+1)</f>
        <v/>
      </c>
    </row>
    <row r="25">
      <c r="A25" s="14" t="n"/>
      <c r="B25" s="12" t="n"/>
      <c r="C25" s="12" t="n"/>
      <c r="D25" s="12" t="n"/>
      <c r="E25" s="12" t="n"/>
      <c r="F25" s="15">
        <f>IF(A25="","",A25-WEEKDAY(A25,2)+1)</f>
        <v/>
      </c>
    </row>
    <row r="26">
      <c r="A26" s="14" t="n"/>
      <c r="B26" s="12" t="n"/>
      <c r="C26" s="12" t="n"/>
      <c r="D26" s="12" t="n"/>
      <c r="E26" s="12" t="n"/>
      <c r="F26" s="15">
        <f>IF(A26="","",A26-WEEKDAY(A26,2)+1)</f>
        <v/>
      </c>
    </row>
    <row r="27">
      <c r="A27" s="14" t="n"/>
      <c r="B27" s="12" t="n"/>
      <c r="C27" s="12" t="n"/>
      <c r="D27" s="12" t="n"/>
      <c r="E27" s="12" t="n"/>
      <c r="F27" s="15">
        <f>IF(A27="","",A27-WEEKDAY(A27,2)+1)</f>
        <v/>
      </c>
    </row>
    <row r="28">
      <c r="A28" s="14" t="n"/>
      <c r="B28" s="12" t="n"/>
      <c r="C28" s="12" t="n"/>
      <c r="D28" s="12" t="n"/>
      <c r="E28" s="12" t="n"/>
      <c r="F28" s="15">
        <f>IF(A28="","",A28-WEEKDAY(A28,2)+1)</f>
        <v/>
      </c>
    </row>
    <row r="29">
      <c r="A29" s="14" t="n"/>
      <c r="B29" s="12" t="n"/>
      <c r="C29" s="12" t="n"/>
      <c r="D29" s="12" t="n"/>
      <c r="E29" s="12" t="n"/>
      <c r="F29" s="15">
        <f>IF(A29="","",A29-WEEKDAY(A29,2)+1)</f>
        <v/>
      </c>
    </row>
    <row r="30">
      <c r="A30" s="14" t="n"/>
      <c r="B30" s="12" t="n"/>
      <c r="C30" s="12" t="n"/>
      <c r="D30" s="12" t="n"/>
      <c r="E30" s="12" t="n"/>
      <c r="F30" s="15">
        <f>IF(A30="","",A30-WEEKDAY(A30,2)+1)</f>
        <v/>
      </c>
    </row>
    <row r="31">
      <c r="A31" s="14" t="n"/>
      <c r="B31" s="12" t="n"/>
      <c r="C31" s="12" t="n"/>
      <c r="D31" s="12" t="n"/>
      <c r="E31" s="12" t="n"/>
      <c r="F31" s="15">
        <f>IF(A31="","",A31-WEEKDAY(A31,2)+1)</f>
        <v/>
      </c>
    </row>
    <row r="32">
      <c r="A32" s="14" t="n"/>
      <c r="B32" s="12" t="n"/>
      <c r="C32" s="12" t="n"/>
      <c r="D32" s="12" t="n"/>
      <c r="E32" s="12" t="n"/>
      <c r="F32" s="15">
        <f>IF(A32="","",A32-WEEKDAY(A32,2)+1)</f>
        <v/>
      </c>
    </row>
    <row r="33">
      <c r="A33" s="14" t="n"/>
      <c r="B33" s="12" t="n"/>
      <c r="C33" s="12" t="n"/>
      <c r="D33" s="12" t="n"/>
      <c r="E33" s="12" t="n"/>
      <c r="F33" s="15">
        <f>IF(A33="","",A33-WEEKDAY(A33,2)+1)</f>
        <v/>
      </c>
    </row>
    <row r="34">
      <c r="A34" s="14" t="n"/>
      <c r="B34" s="12" t="n"/>
      <c r="C34" s="12" t="n"/>
      <c r="D34" s="12" t="n"/>
      <c r="E34" s="12" t="n"/>
      <c r="F34" s="15">
        <f>IF(A34="","",A34-WEEKDAY(A34,2)+1)</f>
        <v/>
      </c>
    </row>
    <row r="35">
      <c r="A35" s="14" t="n"/>
      <c r="B35" s="12" t="n"/>
      <c r="C35" s="12" t="n"/>
      <c r="D35" s="12" t="n"/>
      <c r="E35" s="12" t="n"/>
      <c r="F35" s="15">
        <f>IF(A35="","",A35-WEEKDAY(A35,2)+1)</f>
        <v/>
      </c>
    </row>
    <row r="36">
      <c r="A36" s="14" t="n"/>
      <c r="B36" s="12" t="n"/>
      <c r="C36" s="12" t="n"/>
      <c r="D36" s="12" t="n"/>
      <c r="E36" s="12" t="n"/>
      <c r="F36" s="15">
        <f>IF(A36="","",A36-WEEKDAY(A36,2)+1)</f>
        <v/>
      </c>
    </row>
    <row r="37">
      <c r="A37" s="14" t="n"/>
      <c r="B37" s="12" t="n"/>
      <c r="C37" s="12" t="n"/>
      <c r="D37" s="12" t="n"/>
      <c r="E37" s="12" t="n"/>
      <c r="F37" s="15">
        <f>IF(A37="","",A37-WEEKDAY(A37,2)+1)</f>
        <v/>
      </c>
    </row>
    <row r="38">
      <c r="A38" s="14" t="n"/>
      <c r="B38" s="12" t="n"/>
      <c r="C38" s="12" t="n"/>
      <c r="D38" s="12" t="n"/>
      <c r="E38" s="12" t="n"/>
      <c r="F38" s="15">
        <f>IF(A38="","",A38-WEEKDAY(A38,2)+1)</f>
        <v/>
      </c>
    </row>
    <row r="39">
      <c r="A39" s="14" t="n"/>
      <c r="B39" s="12" t="n"/>
      <c r="C39" s="12" t="n"/>
      <c r="D39" s="12" t="n"/>
      <c r="E39" s="12" t="n"/>
      <c r="F39" s="15">
        <f>IF(A39="","",A39-WEEKDAY(A39,2)+1)</f>
        <v/>
      </c>
    </row>
    <row r="40">
      <c r="A40" s="14" t="n"/>
      <c r="B40" s="12" t="n"/>
      <c r="C40" s="12" t="n"/>
      <c r="D40" s="12" t="n"/>
      <c r="E40" s="12" t="n"/>
      <c r="F40" s="15">
        <f>IF(A40="","",A40-WEEKDAY(A40,2)+1)</f>
        <v/>
      </c>
    </row>
    <row r="41">
      <c r="A41" s="14" t="n"/>
      <c r="B41" s="12" t="n"/>
      <c r="C41" s="12" t="n"/>
      <c r="D41" s="12" t="n"/>
      <c r="E41" s="12" t="n"/>
      <c r="F41" s="15">
        <f>IF(A41="","",A41-WEEKDAY(A41,2)+1)</f>
        <v/>
      </c>
    </row>
    <row r="42">
      <c r="A42" s="14" t="n"/>
      <c r="B42" s="12" t="n"/>
      <c r="C42" s="12" t="n"/>
      <c r="D42" s="12" t="n"/>
      <c r="E42" s="12" t="n"/>
      <c r="F42" s="15">
        <f>IF(A42="","",A42-WEEKDAY(A42,2)+1)</f>
        <v/>
      </c>
    </row>
    <row r="43">
      <c r="A43" s="14" t="n"/>
      <c r="B43" s="12" t="n"/>
      <c r="C43" s="12" t="n"/>
      <c r="D43" s="12" t="n"/>
      <c r="E43" s="12" t="n"/>
      <c r="F43" s="15">
        <f>IF(A43="","",A43-WEEKDAY(A43,2)+1)</f>
        <v/>
      </c>
    </row>
    <row r="44">
      <c r="A44" s="14" t="n"/>
      <c r="B44" s="12" t="n"/>
      <c r="C44" s="12" t="n"/>
      <c r="D44" s="12" t="n"/>
      <c r="E44" s="12" t="n"/>
      <c r="F44" s="15">
        <f>IF(A44="","",A44-WEEKDAY(A44,2)+1)</f>
        <v/>
      </c>
    </row>
    <row r="45">
      <c r="A45" s="14" t="n"/>
      <c r="B45" s="12" t="n"/>
      <c r="C45" s="12" t="n"/>
      <c r="D45" s="12" t="n"/>
      <c r="E45" s="12" t="n"/>
      <c r="F45" s="15">
        <f>IF(A45="","",A45-WEEKDAY(A45,2)+1)</f>
        <v/>
      </c>
    </row>
    <row r="46">
      <c r="A46" s="14" t="n"/>
      <c r="B46" s="12" t="n"/>
      <c r="C46" s="12" t="n"/>
      <c r="D46" s="12" t="n"/>
      <c r="E46" s="12" t="n"/>
      <c r="F46" s="15">
        <f>IF(A46="","",A46-WEEKDAY(A46,2)+1)</f>
        <v/>
      </c>
    </row>
    <row r="47">
      <c r="A47" s="14" t="n"/>
      <c r="B47" s="12" t="n"/>
      <c r="C47" s="12" t="n"/>
      <c r="D47" s="12" t="n"/>
      <c r="E47" s="12" t="n"/>
      <c r="F47" s="15">
        <f>IF(A47="","",A47-WEEKDAY(A47,2)+1)</f>
        <v/>
      </c>
    </row>
    <row r="48">
      <c r="A48" s="14" t="n"/>
      <c r="B48" s="12" t="n"/>
      <c r="C48" s="12" t="n"/>
      <c r="D48" s="12" t="n"/>
      <c r="E48" s="12" t="n"/>
      <c r="F48" s="15">
        <f>IF(A48="","",A48-WEEKDAY(A48,2)+1)</f>
        <v/>
      </c>
    </row>
    <row r="49">
      <c r="A49" s="14" t="n"/>
      <c r="B49" s="12" t="n"/>
      <c r="C49" s="12" t="n"/>
      <c r="D49" s="12" t="n"/>
      <c r="E49" s="12" t="n"/>
      <c r="F49" s="15">
        <f>IF(A49="","",A49-WEEKDAY(A49,2)+1)</f>
        <v/>
      </c>
    </row>
    <row r="50">
      <c r="A50" s="14" t="n"/>
      <c r="B50" s="12" t="n"/>
      <c r="C50" s="12" t="n"/>
      <c r="D50" s="12" t="n"/>
      <c r="E50" s="12" t="n"/>
      <c r="F50" s="15">
        <f>IF(A50="","",A50-WEEKDAY(A50,2)+1)</f>
        <v/>
      </c>
    </row>
    <row r="51">
      <c r="A51" s="14" t="n"/>
      <c r="B51" s="12" t="n"/>
      <c r="C51" s="12" t="n"/>
      <c r="D51" s="12" t="n"/>
      <c r="E51" s="12" t="n"/>
      <c r="F51" s="15">
        <f>IF(A51="","",A51-WEEKDAY(A51,2)+1)</f>
        <v/>
      </c>
    </row>
    <row r="52">
      <c r="A52" s="14" t="n"/>
      <c r="B52" s="12" t="n"/>
      <c r="C52" s="12" t="n"/>
      <c r="D52" s="12" t="n"/>
      <c r="E52" s="12" t="n"/>
      <c r="F52" s="15">
        <f>IF(A52="","",A52-WEEKDAY(A52,2)+1)</f>
        <v/>
      </c>
    </row>
    <row r="53">
      <c r="A53" s="14" t="n"/>
      <c r="B53" s="12" t="n"/>
      <c r="C53" s="12" t="n"/>
      <c r="D53" s="12" t="n"/>
      <c r="E53" s="12" t="n"/>
      <c r="F53" s="15">
        <f>IF(A53="","",A53-WEEKDAY(A53,2)+1)</f>
        <v/>
      </c>
    </row>
    <row r="54">
      <c r="A54" s="14" t="n"/>
      <c r="B54" s="12" t="n"/>
      <c r="C54" s="12" t="n"/>
      <c r="D54" s="12" t="n"/>
      <c r="E54" s="12" t="n"/>
      <c r="F54" s="15">
        <f>IF(A54="","",A54-WEEKDAY(A54,2)+1)</f>
        <v/>
      </c>
    </row>
    <row r="55">
      <c r="A55" s="14" t="n"/>
      <c r="B55" s="12" t="n"/>
      <c r="C55" s="12" t="n"/>
      <c r="D55" s="12" t="n"/>
      <c r="E55" s="12" t="n"/>
      <c r="F55" s="15">
        <f>IF(A55="","",A55-WEEKDAY(A55,2)+1)</f>
        <v/>
      </c>
    </row>
    <row r="56">
      <c r="A56" s="14" t="n"/>
      <c r="B56" s="12" t="n"/>
      <c r="C56" s="12" t="n"/>
      <c r="D56" s="12" t="n"/>
      <c r="E56" s="12" t="n"/>
      <c r="F56" s="15">
        <f>IF(A56="","",A56-WEEKDAY(A56,2)+1)</f>
        <v/>
      </c>
    </row>
    <row r="57">
      <c r="A57" s="14" t="n"/>
      <c r="B57" s="12" t="n"/>
      <c r="C57" s="12" t="n"/>
      <c r="D57" s="12" t="n"/>
      <c r="E57" s="12" t="n"/>
      <c r="F57" s="15">
        <f>IF(A57="","",A57-WEEKDAY(A57,2)+1)</f>
        <v/>
      </c>
    </row>
    <row r="58">
      <c r="A58" s="14" t="n"/>
      <c r="B58" s="12" t="n"/>
      <c r="C58" s="12" t="n"/>
      <c r="D58" s="12" t="n"/>
      <c r="E58" s="12" t="n"/>
      <c r="F58" s="15">
        <f>IF(A58="","",A58-WEEKDAY(A58,2)+1)</f>
        <v/>
      </c>
    </row>
    <row r="59">
      <c r="A59" s="14" t="n"/>
      <c r="B59" s="12" t="n"/>
      <c r="C59" s="12" t="n"/>
      <c r="D59" s="12" t="n"/>
      <c r="E59" s="12" t="n"/>
      <c r="F59" s="15">
        <f>IF(A59="","",A59-WEEKDAY(A59,2)+1)</f>
        <v/>
      </c>
    </row>
    <row r="60">
      <c r="A60" s="14" t="n"/>
      <c r="B60" s="12" t="n"/>
      <c r="C60" s="12" t="n"/>
      <c r="D60" s="12" t="n"/>
      <c r="E60" s="12" t="n"/>
      <c r="F60" s="15">
        <f>IF(A60="","",A60-WEEKDAY(A60,2)+1)</f>
        <v/>
      </c>
    </row>
    <row r="61">
      <c r="A61" s="14" t="n"/>
      <c r="B61" s="12" t="n"/>
      <c r="C61" s="12" t="n"/>
      <c r="D61" s="12" t="n"/>
      <c r="E61" s="12" t="n"/>
      <c r="F61" s="15">
        <f>IF(A61="","",A61-WEEKDAY(A61,2)+1)</f>
        <v/>
      </c>
    </row>
    <row r="62">
      <c r="A62" s="14" t="n"/>
      <c r="B62" s="12" t="n"/>
      <c r="C62" s="12" t="n"/>
      <c r="D62" s="12" t="n"/>
      <c r="E62" s="12" t="n"/>
      <c r="F62" s="15">
        <f>IF(A62="","",A62-WEEKDAY(A62,2)+1)</f>
        <v/>
      </c>
    </row>
    <row r="63">
      <c r="A63" s="14" t="n"/>
      <c r="B63" s="12" t="n"/>
      <c r="C63" s="12" t="n"/>
      <c r="D63" s="12" t="n"/>
      <c r="E63" s="12" t="n"/>
      <c r="F63" s="15">
        <f>IF(A63="","",A63-WEEKDAY(A63,2)+1)</f>
        <v/>
      </c>
    </row>
    <row r="64">
      <c r="A64" s="14" t="n"/>
      <c r="B64" s="12" t="n"/>
      <c r="C64" s="12" t="n"/>
      <c r="D64" s="12" t="n"/>
      <c r="E64" s="12" t="n"/>
      <c r="F64" s="15">
        <f>IF(A64="","",A64-WEEKDAY(A64,2)+1)</f>
        <v/>
      </c>
    </row>
    <row r="65">
      <c r="A65" s="14" t="n"/>
      <c r="B65" s="12" t="n"/>
      <c r="C65" s="12" t="n"/>
      <c r="D65" s="12" t="n"/>
      <c r="E65" s="12" t="n"/>
      <c r="F65" s="15">
        <f>IF(A65="","",A65-WEEKDAY(A65,2)+1)</f>
        <v/>
      </c>
    </row>
    <row r="66">
      <c r="A66" s="14" t="n"/>
      <c r="B66" s="12" t="n"/>
      <c r="C66" s="12" t="n"/>
      <c r="D66" s="12" t="n"/>
      <c r="E66" s="12" t="n"/>
      <c r="F66" s="15">
        <f>IF(A66="","",A66-WEEKDAY(A66,2)+1)</f>
        <v/>
      </c>
    </row>
    <row r="67">
      <c r="A67" s="14" t="n"/>
      <c r="B67" s="12" t="n"/>
      <c r="C67" s="12" t="n"/>
      <c r="D67" s="12" t="n"/>
      <c r="E67" s="12" t="n"/>
      <c r="F67" s="15">
        <f>IF(A67="","",A67-WEEKDAY(A67,2)+1)</f>
        <v/>
      </c>
    </row>
    <row r="68">
      <c r="A68" s="14" t="n"/>
      <c r="B68" s="12" t="n"/>
      <c r="C68" s="12" t="n"/>
      <c r="D68" s="12" t="n"/>
      <c r="E68" s="12" t="n"/>
      <c r="F68" s="15">
        <f>IF(A68="","",A68-WEEKDAY(A68,2)+1)</f>
        <v/>
      </c>
    </row>
    <row r="69">
      <c r="A69" s="14" t="n"/>
      <c r="B69" s="12" t="n"/>
      <c r="C69" s="12" t="n"/>
      <c r="D69" s="12" t="n"/>
      <c r="E69" s="12" t="n"/>
      <c r="F69" s="15">
        <f>IF(A69="","",A69-WEEKDAY(A69,2)+1)</f>
        <v/>
      </c>
    </row>
    <row r="70">
      <c r="A70" s="14" t="n"/>
      <c r="B70" s="12" t="n"/>
      <c r="C70" s="12" t="n"/>
      <c r="D70" s="12" t="n"/>
      <c r="E70" s="12" t="n"/>
      <c r="F70" s="15">
        <f>IF(A70="","",A70-WEEKDAY(A70,2)+1)</f>
        <v/>
      </c>
    </row>
    <row r="71">
      <c r="A71" s="14" t="n"/>
      <c r="B71" s="12" t="n"/>
      <c r="C71" s="12" t="n"/>
      <c r="D71" s="12" t="n"/>
      <c r="E71" s="12" t="n"/>
      <c r="F71" s="15">
        <f>IF(A71="","",A71-WEEKDAY(A71,2)+1)</f>
        <v/>
      </c>
    </row>
    <row r="72">
      <c r="A72" s="14" t="n"/>
      <c r="B72" s="12" t="n"/>
      <c r="C72" s="12" t="n"/>
      <c r="D72" s="12" t="n"/>
      <c r="E72" s="12" t="n"/>
      <c r="F72" s="15">
        <f>IF(A72="","",A72-WEEKDAY(A72,2)+1)</f>
        <v/>
      </c>
    </row>
    <row r="73">
      <c r="A73" s="14" t="n"/>
      <c r="B73" s="12" t="n"/>
      <c r="C73" s="12" t="n"/>
      <c r="D73" s="12" t="n"/>
      <c r="E73" s="12" t="n"/>
      <c r="F73" s="15">
        <f>IF(A73="","",A73-WEEKDAY(A73,2)+1)</f>
        <v/>
      </c>
    </row>
    <row r="74">
      <c r="A74" s="14" t="n"/>
      <c r="B74" s="12" t="n"/>
      <c r="C74" s="12" t="n"/>
      <c r="D74" s="12" t="n"/>
      <c r="E74" s="12" t="n"/>
      <c r="F74" s="15">
        <f>IF(A74="","",A74-WEEKDAY(A74,2)+1)</f>
        <v/>
      </c>
    </row>
    <row r="75">
      <c r="A75" s="14" t="n"/>
      <c r="B75" s="12" t="n"/>
      <c r="C75" s="12" t="n"/>
      <c r="D75" s="12" t="n"/>
      <c r="E75" s="12" t="n"/>
      <c r="F75" s="15">
        <f>IF(A75="","",A75-WEEKDAY(A75,2)+1)</f>
        <v/>
      </c>
    </row>
    <row r="76">
      <c r="A76" s="14" t="n"/>
      <c r="B76" s="12" t="n"/>
      <c r="C76" s="12" t="n"/>
      <c r="D76" s="12" t="n"/>
      <c r="E76" s="12" t="n"/>
      <c r="F76" s="15">
        <f>IF(A76="","",A76-WEEKDAY(A76,2)+1)</f>
        <v/>
      </c>
    </row>
    <row r="77">
      <c r="A77" s="14" t="n"/>
      <c r="B77" s="12" t="n"/>
      <c r="C77" s="12" t="n"/>
      <c r="D77" s="12" t="n"/>
      <c r="E77" s="12" t="n"/>
      <c r="F77" s="15">
        <f>IF(A77="","",A77-WEEKDAY(A77,2)+1)</f>
        <v/>
      </c>
    </row>
    <row r="78">
      <c r="A78" s="14" t="n"/>
      <c r="B78" s="12" t="n"/>
      <c r="C78" s="12" t="n"/>
      <c r="D78" s="12" t="n"/>
      <c r="E78" s="12" t="n"/>
      <c r="F78" s="15">
        <f>IF(A78="","",A78-WEEKDAY(A78,2)+1)</f>
        <v/>
      </c>
    </row>
    <row r="79">
      <c r="A79" s="14" t="n"/>
      <c r="B79" s="12" t="n"/>
      <c r="C79" s="12" t="n"/>
      <c r="D79" s="12" t="n"/>
      <c r="E79" s="12" t="n"/>
      <c r="F79" s="15">
        <f>IF(A79="","",A79-WEEKDAY(A79,2)+1)</f>
        <v/>
      </c>
    </row>
    <row r="80">
      <c r="A80" s="14" t="n"/>
      <c r="B80" s="12" t="n"/>
      <c r="C80" s="12" t="n"/>
      <c r="D80" s="12" t="n"/>
      <c r="E80" s="12" t="n"/>
      <c r="F80" s="15">
        <f>IF(A80="","",A80-WEEKDAY(A80,2)+1)</f>
        <v/>
      </c>
    </row>
    <row r="81">
      <c r="A81" s="14" t="n"/>
      <c r="B81" s="12" t="n"/>
      <c r="C81" s="12" t="n"/>
      <c r="D81" s="12" t="n"/>
      <c r="E81" s="12" t="n"/>
      <c r="F81" s="15">
        <f>IF(A81="","",A81-WEEKDAY(A81,2)+1)</f>
        <v/>
      </c>
    </row>
    <row r="82">
      <c r="A82" s="14" t="n"/>
      <c r="B82" s="12" t="n"/>
      <c r="C82" s="12" t="n"/>
      <c r="D82" s="12" t="n"/>
      <c r="E82" s="12" t="n"/>
      <c r="F82" s="15">
        <f>IF(A82="","",A82-WEEKDAY(A82,2)+1)</f>
        <v/>
      </c>
    </row>
    <row r="83">
      <c r="A83" s="14" t="n"/>
      <c r="B83" s="12" t="n"/>
      <c r="C83" s="12" t="n"/>
      <c r="D83" s="12" t="n"/>
      <c r="E83" s="12" t="n"/>
      <c r="F83" s="15">
        <f>IF(A83="","",A83-WEEKDAY(A83,2)+1)</f>
        <v/>
      </c>
    </row>
    <row r="84">
      <c r="A84" s="14" t="n"/>
      <c r="B84" s="12" t="n"/>
      <c r="C84" s="12" t="n"/>
      <c r="D84" s="12" t="n"/>
      <c r="E84" s="12" t="n"/>
      <c r="F84" s="15">
        <f>IF(A84="","",A84-WEEKDAY(A84,2)+1)</f>
        <v/>
      </c>
    </row>
    <row r="85">
      <c r="A85" s="14" t="n"/>
      <c r="B85" s="12" t="n"/>
      <c r="C85" s="12" t="n"/>
      <c r="D85" s="12" t="n"/>
      <c r="E85" s="12" t="n"/>
      <c r="F85" s="15">
        <f>IF(A85="","",A85-WEEKDAY(A85,2)+1)</f>
        <v/>
      </c>
    </row>
    <row r="86">
      <c r="A86" s="14" t="n"/>
      <c r="B86" s="12" t="n"/>
      <c r="C86" s="12" t="n"/>
      <c r="D86" s="12" t="n"/>
      <c r="E86" s="12" t="n"/>
      <c r="F86" s="15">
        <f>IF(A86="","",A86-WEEKDAY(A86,2)+1)</f>
        <v/>
      </c>
    </row>
    <row r="87">
      <c r="A87" s="14" t="n"/>
      <c r="B87" s="12" t="n"/>
      <c r="C87" s="12" t="n"/>
      <c r="D87" s="12" t="n"/>
      <c r="E87" s="12" t="n"/>
      <c r="F87" s="15">
        <f>IF(A87="","",A87-WEEKDAY(A87,2)+1)</f>
        <v/>
      </c>
    </row>
    <row r="88">
      <c r="A88" s="14" t="n"/>
      <c r="B88" s="12" t="n"/>
      <c r="C88" s="12" t="n"/>
      <c r="D88" s="12" t="n"/>
      <c r="E88" s="12" t="n"/>
      <c r="F88" s="15">
        <f>IF(A88="","",A88-WEEKDAY(A88,2)+1)</f>
        <v/>
      </c>
    </row>
    <row r="89">
      <c r="A89" s="14" t="n"/>
      <c r="B89" s="12" t="n"/>
      <c r="C89" s="12" t="n"/>
      <c r="D89" s="12" t="n"/>
      <c r="E89" s="12" t="n"/>
      <c r="F89" s="15">
        <f>IF(A89="","",A89-WEEKDAY(A89,2)+1)</f>
        <v/>
      </c>
    </row>
    <row r="90">
      <c r="A90" s="14" t="n"/>
      <c r="B90" s="12" t="n"/>
      <c r="C90" s="12" t="n"/>
      <c r="D90" s="12" t="n"/>
      <c r="E90" s="12" t="n"/>
      <c r="F90" s="15">
        <f>IF(A90="","",A90-WEEKDAY(A90,2)+1)</f>
        <v/>
      </c>
    </row>
    <row r="91">
      <c r="A91" s="14" t="n"/>
      <c r="B91" s="12" t="n"/>
      <c r="C91" s="12" t="n"/>
      <c r="D91" s="12" t="n"/>
      <c r="E91" s="12" t="n"/>
      <c r="F91" s="15">
        <f>IF(A91="","",A91-WEEKDAY(A91,2)+1)</f>
        <v/>
      </c>
    </row>
    <row r="92">
      <c r="A92" s="14" t="n"/>
      <c r="B92" s="12" t="n"/>
      <c r="C92" s="12" t="n"/>
      <c r="D92" s="12" t="n"/>
      <c r="E92" s="12" t="n"/>
      <c r="F92" s="15">
        <f>IF(A92="","",A92-WEEKDAY(A92,2)+1)</f>
        <v/>
      </c>
    </row>
    <row r="93">
      <c r="A93" s="14" t="n"/>
      <c r="B93" s="12" t="n"/>
      <c r="C93" s="12" t="n"/>
      <c r="D93" s="12" t="n"/>
      <c r="E93" s="12" t="n"/>
      <c r="F93" s="15">
        <f>IF(A93="","",A93-WEEKDAY(A93,2)+1)</f>
        <v/>
      </c>
    </row>
    <row r="94">
      <c r="A94" s="14" t="n"/>
      <c r="B94" s="12" t="n"/>
      <c r="C94" s="12" t="n"/>
      <c r="D94" s="12" t="n"/>
      <c r="E94" s="12" t="n"/>
      <c r="F94" s="15">
        <f>IF(A94="","",A94-WEEKDAY(A94,2)+1)</f>
        <v/>
      </c>
    </row>
    <row r="95">
      <c r="A95" s="14" t="n"/>
      <c r="B95" s="12" t="n"/>
      <c r="C95" s="12" t="n"/>
      <c r="D95" s="12" t="n"/>
      <c r="E95" s="12" t="n"/>
      <c r="F95" s="15">
        <f>IF(A95="","",A95-WEEKDAY(A95,2)+1)</f>
        <v/>
      </c>
    </row>
    <row r="96">
      <c r="A96" s="14" t="n"/>
      <c r="B96" s="12" t="n"/>
      <c r="C96" s="12" t="n"/>
      <c r="D96" s="12" t="n"/>
      <c r="E96" s="12" t="n"/>
      <c r="F96" s="15">
        <f>IF(A96="","",A96-WEEKDAY(A96,2)+1)</f>
        <v/>
      </c>
    </row>
    <row r="97">
      <c r="A97" s="14" t="n"/>
      <c r="B97" s="12" t="n"/>
      <c r="C97" s="12" t="n"/>
      <c r="D97" s="12" t="n"/>
      <c r="E97" s="12" t="n"/>
      <c r="F97" s="15">
        <f>IF(A97="","",A97-WEEKDAY(A97,2)+1)</f>
        <v/>
      </c>
    </row>
    <row r="98">
      <c r="A98" s="14" t="n"/>
      <c r="B98" s="12" t="n"/>
      <c r="C98" s="12" t="n"/>
      <c r="D98" s="12" t="n"/>
      <c r="E98" s="12" t="n"/>
      <c r="F98" s="15">
        <f>IF(A98="","",A98-WEEKDAY(A98,2)+1)</f>
        <v/>
      </c>
    </row>
    <row r="99">
      <c r="A99" s="14" t="n"/>
      <c r="B99" s="12" t="n"/>
      <c r="C99" s="12" t="n"/>
      <c r="D99" s="12" t="n"/>
      <c r="E99" s="12" t="n"/>
      <c r="F99" s="15">
        <f>IF(A99="","",A99-WEEKDAY(A99,2)+1)</f>
        <v/>
      </c>
    </row>
    <row r="100">
      <c r="A100" s="14" t="n"/>
      <c r="B100" s="12" t="n"/>
      <c r="C100" s="12" t="n"/>
      <c r="D100" s="12" t="n"/>
      <c r="E100" s="12" t="n"/>
      <c r="F100" s="15">
        <f>IF(A100="","",A100-WEEKDAY(A100,2)+1)</f>
        <v/>
      </c>
    </row>
    <row r="101">
      <c r="A101" s="14" t="n"/>
      <c r="B101" s="12" t="n"/>
      <c r="C101" s="12" t="n"/>
      <c r="D101" s="12" t="n"/>
      <c r="E101" s="12" t="n"/>
      <c r="F101" s="15">
        <f>IF(A101="","",A101-WEEKDAY(A101,2)+1)</f>
        <v/>
      </c>
    </row>
    <row r="102">
      <c r="A102" s="14" t="n"/>
      <c r="B102" s="12" t="n"/>
      <c r="C102" s="12" t="n"/>
      <c r="D102" s="12" t="n"/>
      <c r="E102" s="12" t="n"/>
      <c r="F102" s="15">
        <f>IF(A102="","",A102-WEEKDAY(A102,2)+1)</f>
        <v/>
      </c>
    </row>
    <row r="103">
      <c r="A103" s="14" t="n"/>
      <c r="B103" s="12" t="n"/>
      <c r="C103" s="12" t="n"/>
      <c r="D103" s="12" t="n"/>
      <c r="E103" s="12" t="n"/>
      <c r="F103" s="15">
        <f>IF(A103="","",A103-WEEKDAY(A103,2)+1)</f>
        <v/>
      </c>
    </row>
    <row r="104">
      <c r="A104" s="14" t="n"/>
      <c r="B104" s="12" t="n"/>
      <c r="C104" s="12" t="n"/>
      <c r="D104" s="12" t="n"/>
      <c r="E104" s="12" t="n"/>
      <c r="F104" s="15">
        <f>IF(A104="","",A104-WEEKDAY(A104,2)+1)</f>
        <v/>
      </c>
    </row>
    <row r="105">
      <c r="A105" s="14" t="n"/>
      <c r="B105" s="12" t="n"/>
      <c r="C105" s="12" t="n"/>
      <c r="D105" s="12" t="n"/>
      <c r="E105" s="12" t="n"/>
      <c r="F105" s="15">
        <f>IF(A105="","",A105-WEEKDAY(A105,2)+1)</f>
        <v/>
      </c>
    </row>
    <row r="106">
      <c r="A106" s="14" t="n"/>
      <c r="B106" s="12" t="n"/>
      <c r="C106" s="12" t="n"/>
      <c r="D106" s="12" t="n"/>
      <c r="E106" s="12" t="n"/>
      <c r="F106" s="15">
        <f>IF(A106="","",A106-WEEKDAY(A106,2)+1)</f>
        <v/>
      </c>
    </row>
    <row r="107">
      <c r="A107" s="14" t="n"/>
      <c r="B107" s="12" t="n"/>
      <c r="C107" s="12" t="n"/>
      <c r="D107" s="12" t="n"/>
      <c r="E107" s="12" t="n"/>
      <c r="F107" s="15">
        <f>IF(A107="","",A107-WEEKDAY(A107,2)+1)</f>
        <v/>
      </c>
    </row>
    <row r="108">
      <c r="A108" s="14" t="n"/>
      <c r="B108" s="12" t="n"/>
      <c r="C108" s="12" t="n"/>
      <c r="D108" s="12" t="n"/>
      <c r="E108" s="12" t="n"/>
      <c r="F108" s="15">
        <f>IF(A108="","",A108-WEEKDAY(A108,2)+1)</f>
        <v/>
      </c>
    </row>
    <row r="109">
      <c r="A109" s="14" t="n"/>
      <c r="B109" s="12" t="n"/>
      <c r="C109" s="12" t="n"/>
      <c r="D109" s="12" t="n"/>
      <c r="E109" s="12" t="n"/>
      <c r="F109" s="15">
        <f>IF(A109="","",A109-WEEKDAY(A109,2)+1)</f>
        <v/>
      </c>
    </row>
    <row r="110">
      <c r="A110" s="14" t="n"/>
      <c r="B110" s="12" t="n"/>
      <c r="C110" s="12" t="n"/>
      <c r="D110" s="12" t="n"/>
      <c r="E110" s="12" t="n"/>
      <c r="F110" s="15">
        <f>IF(A110="","",A110-WEEKDAY(A110,2)+1)</f>
        <v/>
      </c>
    </row>
    <row r="111">
      <c r="A111" s="14" t="n"/>
      <c r="B111" s="12" t="n"/>
      <c r="C111" s="12" t="n"/>
      <c r="D111" s="12" t="n"/>
      <c r="E111" s="12" t="n"/>
      <c r="F111" s="15">
        <f>IF(A111="","",A111-WEEKDAY(A111,2)+1)</f>
        <v/>
      </c>
    </row>
    <row r="112">
      <c r="A112" s="14" t="n"/>
      <c r="B112" s="12" t="n"/>
      <c r="C112" s="12" t="n"/>
      <c r="D112" s="12" t="n"/>
      <c r="E112" s="12" t="n"/>
      <c r="F112" s="15">
        <f>IF(A112="","",A112-WEEKDAY(A112,2)+1)</f>
        <v/>
      </c>
    </row>
    <row r="113">
      <c r="A113" s="14" t="n"/>
      <c r="B113" s="12" t="n"/>
      <c r="C113" s="12" t="n"/>
      <c r="D113" s="12" t="n"/>
      <c r="E113" s="12" t="n"/>
      <c r="F113" s="15">
        <f>IF(A113="","",A113-WEEKDAY(A113,2)+1)</f>
        <v/>
      </c>
    </row>
    <row r="114">
      <c r="A114" s="14" t="n"/>
      <c r="B114" s="12" t="n"/>
      <c r="C114" s="12" t="n"/>
      <c r="D114" s="12" t="n"/>
      <c r="E114" s="12" t="n"/>
      <c r="F114" s="15">
        <f>IF(A114="","",A114-WEEKDAY(A114,2)+1)</f>
        <v/>
      </c>
    </row>
    <row r="115">
      <c r="A115" s="14" t="n"/>
      <c r="B115" s="12" t="n"/>
      <c r="C115" s="12" t="n"/>
      <c r="D115" s="12" t="n"/>
      <c r="E115" s="12" t="n"/>
      <c r="F115" s="15">
        <f>IF(A115="","",A115-WEEKDAY(A115,2)+1)</f>
        <v/>
      </c>
    </row>
    <row r="116">
      <c r="A116" s="14" t="n"/>
      <c r="B116" s="12" t="n"/>
      <c r="C116" s="12" t="n"/>
      <c r="D116" s="12" t="n"/>
      <c r="E116" s="12" t="n"/>
      <c r="F116" s="15">
        <f>IF(A116="","",A116-WEEKDAY(A116,2)+1)</f>
        <v/>
      </c>
    </row>
    <row r="117">
      <c r="A117" s="14" t="n"/>
      <c r="B117" s="12" t="n"/>
      <c r="C117" s="12" t="n"/>
      <c r="D117" s="12" t="n"/>
      <c r="E117" s="12" t="n"/>
      <c r="F117" s="15">
        <f>IF(A117="","",A117-WEEKDAY(A117,2)+1)</f>
        <v/>
      </c>
    </row>
    <row r="118">
      <c r="A118" s="14" t="n"/>
      <c r="B118" s="12" t="n"/>
      <c r="C118" s="12" t="n"/>
      <c r="D118" s="12" t="n"/>
      <c r="E118" s="12" t="n"/>
      <c r="F118" s="15">
        <f>IF(A118="","",A118-WEEKDAY(A118,2)+1)</f>
        <v/>
      </c>
    </row>
    <row r="119">
      <c r="A119" s="14" t="n"/>
      <c r="B119" s="12" t="n"/>
      <c r="C119" s="12" t="n"/>
      <c r="D119" s="12" t="n"/>
      <c r="E119" s="12" t="n"/>
      <c r="F119" s="15">
        <f>IF(A119="","",A119-WEEKDAY(A119,2)+1)</f>
        <v/>
      </c>
    </row>
    <row r="120">
      <c r="A120" s="14" t="n"/>
      <c r="B120" s="12" t="n"/>
      <c r="C120" s="12" t="n"/>
      <c r="D120" s="12" t="n"/>
      <c r="E120" s="12" t="n"/>
      <c r="F120" s="15">
        <f>IF(A120="","",A120-WEEKDAY(A120,2)+1)</f>
        <v/>
      </c>
    </row>
    <row r="121">
      <c r="A121" s="14" t="n"/>
      <c r="B121" s="12" t="n"/>
      <c r="C121" s="12" t="n"/>
      <c r="D121" s="12" t="n"/>
      <c r="E121" s="12" t="n"/>
      <c r="F121" s="15">
        <f>IF(A121="","",A121-WEEKDAY(A121,2)+1)</f>
        <v/>
      </c>
    </row>
    <row r="122">
      <c r="A122" s="14" t="n"/>
      <c r="B122" s="12" t="n"/>
      <c r="C122" s="12" t="n"/>
      <c r="D122" s="12" t="n"/>
      <c r="E122" s="12" t="n"/>
      <c r="F122" s="15">
        <f>IF(A122="","",A122-WEEKDAY(A122,2)+1)</f>
        <v/>
      </c>
    </row>
    <row r="123">
      <c r="A123" s="14" t="n"/>
      <c r="B123" s="12" t="n"/>
      <c r="C123" s="12" t="n"/>
      <c r="D123" s="12" t="n"/>
      <c r="E123" s="12" t="n"/>
      <c r="F123" s="15">
        <f>IF(A123="","",A123-WEEKDAY(A123,2)+1)</f>
        <v/>
      </c>
    </row>
    <row r="124">
      <c r="A124" s="14" t="n"/>
      <c r="B124" s="12" t="n"/>
      <c r="C124" s="12" t="n"/>
      <c r="D124" s="12" t="n"/>
      <c r="E124" s="12" t="n"/>
      <c r="F124" s="15">
        <f>IF(A124="","",A124-WEEKDAY(A124,2)+1)</f>
        <v/>
      </c>
    </row>
    <row r="125">
      <c r="A125" s="14" t="n"/>
      <c r="B125" s="12" t="n"/>
      <c r="C125" s="12" t="n"/>
      <c r="D125" s="12" t="n"/>
      <c r="E125" s="12" t="n"/>
      <c r="F125" s="15">
        <f>IF(A125="","",A125-WEEKDAY(A125,2)+1)</f>
        <v/>
      </c>
    </row>
    <row r="126">
      <c r="A126" s="14" t="n"/>
      <c r="B126" s="12" t="n"/>
      <c r="C126" s="12" t="n"/>
      <c r="D126" s="12" t="n"/>
      <c r="E126" s="12" t="n"/>
      <c r="F126" s="15">
        <f>IF(A126="","",A126-WEEKDAY(A126,2)+1)</f>
        <v/>
      </c>
    </row>
    <row r="127">
      <c r="A127" s="14" t="n"/>
      <c r="B127" s="12" t="n"/>
      <c r="C127" s="12" t="n"/>
      <c r="D127" s="12" t="n"/>
      <c r="E127" s="12" t="n"/>
      <c r="F127" s="15">
        <f>IF(A127="","",A127-WEEKDAY(A127,2)+1)</f>
        <v/>
      </c>
    </row>
    <row r="128">
      <c r="A128" s="14" t="n"/>
      <c r="B128" s="12" t="n"/>
      <c r="C128" s="12" t="n"/>
      <c r="D128" s="12" t="n"/>
      <c r="E128" s="12" t="n"/>
      <c r="F128" s="15">
        <f>IF(A128="","",A128-WEEKDAY(A128,2)+1)</f>
        <v/>
      </c>
    </row>
    <row r="129">
      <c r="A129" s="14" t="n"/>
      <c r="B129" s="12" t="n"/>
      <c r="C129" s="12" t="n"/>
      <c r="D129" s="12" t="n"/>
      <c r="E129" s="12" t="n"/>
      <c r="F129" s="15">
        <f>IF(A129="","",A129-WEEKDAY(A129,2)+1)</f>
        <v/>
      </c>
    </row>
    <row r="130">
      <c r="A130" s="14" t="n"/>
      <c r="B130" s="12" t="n"/>
      <c r="C130" s="12" t="n"/>
      <c r="D130" s="12" t="n"/>
      <c r="E130" s="12" t="n"/>
      <c r="F130" s="15">
        <f>IF(A130="","",A130-WEEKDAY(A130,2)+1)</f>
        <v/>
      </c>
    </row>
    <row r="131">
      <c r="A131" s="14" t="n"/>
      <c r="B131" s="12" t="n"/>
      <c r="C131" s="12" t="n"/>
      <c r="D131" s="12" t="n"/>
      <c r="E131" s="12" t="n"/>
      <c r="F131" s="15">
        <f>IF(A131="","",A131-WEEKDAY(A131,2)+1)</f>
        <v/>
      </c>
    </row>
    <row r="132">
      <c r="A132" s="14" t="n"/>
      <c r="B132" s="12" t="n"/>
      <c r="C132" s="12" t="n"/>
      <c r="D132" s="12" t="n"/>
      <c r="E132" s="12" t="n"/>
      <c r="F132" s="15">
        <f>IF(A132="","",A132-WEEKDAY(A132,2)+1)</f>
        <v/>
      </c>
    </row>
    <row r="133">
      <c r="A133" s="14" t="n"/>
      <c r="B133" s="12" t="n"/>
      <c r="C133" s="12" t="n"/>
      <c r="D133" s="12" t="n"/>
      <c r="E133" s="12" t="n"/>
      <c r="F133" s="15">
        <f>IF(A133="","",A133-WEEKDAY(A133,2)+1)</f>
        <v/>
      </c>
    </row>
    <row r="134">
      <c r="A134" s="14" t="n"/>
      <c r="B134" s="12" t="n"/>
      <c r="C134" s="12" t="n"/>
      <c r="D134" s="12" t="n"/>
      <c r="E134" s="12" t="n"/>
      <c r="F134" s="15">
        <f>IF(A134="","",A134-WEEKDAY(A134,2)+1)</f>
        <v/>
      </c>
    </row>
    <row r="135">
      <c r="A135" s="14" t="n"/>
      <c r="B135" s="12" t="n"/>
      <c r="C135" s="12" t="n"/>
      <c r="D135" s="12" t="n"/>
      <c r="E135" s="12" t="n"/>
      <c r="F135" s="15">
        <f>IF(A135="","",A135-WEEKDAY(A135,2)+1)</f>
        <v/>
      </c>
    </row>
    <row r="136">
      <c r="A136" s="14" t="n"/>
      <c r="B136" s="12" t="n"/>
      <c r="C136" s="12" t="n"/>
      <c r="D136" s="12" t="n"/>
      <c r="E136" s="12" t="n"/>
      <c r="F136" s="15">
        <f>IF(A136="","",A136-WEEKDAY(A136,2)+1)</f>
        <v/>
      </c>
    </row>
    <row r="137">
      <c r="A137" s="14" t="n"/>
      <c r="B137" s="12" t="n"/>
      <c r="C137" s="12" t="n"/>
      <c r="D137" s="12" t="n"/>
      <c r="E137" s="12" t="n"/>
      <c r="F137" s="15">
        <f>IF(A137="","",A137-WEEKDAY(A137,2)+1)</f>
        <v/>
      </c>
    </row>
    <row r="138">
      <c r="A138" s="14" t="n"/>
      <c r="B138" s="12" t="n"/>
      <c r="C138" s="12" t="n"/>
      <c r="D138" s="12" t="n"/>
      <c r="E138" s="12" t="n"/>
      <c r="F138" s="15">
        <f>IF(A138="","",A138-WEEKDAY(A138,2)+1)</f>
        <v/>
      </c>
    </row>
    <row r="139">
      <c r="A139" s="14" t="n"/>
      <c r="B139" s="12" t="n"/>
      <c r="C139" s="12" t="n"/>
      <c r="D139" s="12" t="n"/>
      <c r="E139" s="12" t="n"/>
      <c r="F139" s="15">
        <f>IF(A139="","",A139-WEEKDAY(A139,2)+1)</f>
        <v/>
      </c>
    </row>
    <row r="140">
      <c r="A140" s="14" t="n"/>
      <c r="B140" s="12" t="n"/>
      <c r="C140" s="12" t="n"/>
      <c r="D140" s="12" t="n"/>
      <c r="E140" s="12" t="n"/>
      <c r="F140" s="15">
        <f>IF(A140="","",A140-WEEKDAY(A140,2)+1)</f>
        <v/>
      </c>
    </row>
    <row r="141">
      <c r="A141" s="14" t="n"/>
      <c r="B141" s="12" t="n"/>
      <c r="C141" s="12" t="n"/>
      <c r="D141" s="12" t="n"/>
      <c r="E141" s="12" t="n"/>
      <c r="F141" s="15">
        <f>IF(A141="","",A141-WEEKDAY(A141,2)+1)</f>
        <v/>
      </c>
    </row>
    <row r="142">
      <c r="A142" s="14" t="n"/>
      <c r="B142" s="12" t="n"/>
      <c r="C142" s="12" t="n"/>
      <c r="D142" s="12" t="n"/>
      <c r="E142" s="12" t="n"/>
      <c r="F142" s="15">
        <f>IF(A142="","",A142-WEEKDAY(A142,2)+1)</f>
        <v/>
      </c>
    </row>
    <row r="143">
      <c r="A143" s="14" t="n"/>
      <c r="B143" s="12" t="n"/>
      <c r="C143" s="12" t="n"/>
      <c r="D143" s="12" t="n"/>
      <c r="E143" s="12" t="n"/>
      <c r="F143" s="15">
        <f>IF(A143="","",A143-WEEKDAY(A143,2)+1)</f>
        <v/>
      </c>
    </row>
    <row r="144">
      <c r="A144" s="14" t="n"/>
      <c r="B144" s="12" t="n"/>
      <c r="C144" s="12" t="n"/>
      <c r="D144" s="12" t="n"/>
      <c r="E144" s="12" t="n"/>
      <c r="F144" s="15">
        <f>IF(A144="","",A144-WEEKDAY(A144,2)+1)</f>
        <v/>
      </c>
    </row>
    <row r="145">
      <c r="A145" s="14" t="n"/>
      <c r="B145" s="12" t="n"/>
      <c r="C145" s="12" t="n"/>
      <c r="D145" s="12" t="n"/>
      <c r="E145" s="12" t="n"/>
      <c r="F145" s="15">
        <f>IF(A145="","",A145-WEEKDAY(A145,2)+1)</f>
        <v/>
      </c>
    </row>
    <row r="146">
      <c r="A146" s="14" t="n"/>
      <c r="B146" s="12" t="n"/>
      <c r="C146" s="12" t="n"/>
      <c r="D146" s="12" t="n"/>
      <c r="E146" s="12" t="n"/>
      <c r="F146" s="15">
        <f>IF(A146="","",A146-WEEKDAY(A146,2)+1)</f>
        <v/>
      </c>
    </row>
    <row r="147">
      <c r="A147" s="14" t="n"/>
      <c r="B147" s="12" t="n"/>
      <c r="C147" s="12" t="n"/>
      <c r="D147" s="12" t="n"/>
      <c r="E147" s="12" t="n"/>
      <c r="F147" s="15">
        <f>IF(A147="","",A147-WEEKDAY(A147,2)+1)</f>
        <v/>
      </c>
    </row>
    <row r="148">
      <c r="A148" s="14" t="n"/>
      <c r="B148" s="12" t="n"/>
      <c r="C148" s="12" t="n"/>
      <c r="D148" s="12" t="n"/>
      <c r="E148" s="12" t="n"/>
      <c r="F148" s="15">
        <f>IF(A148="","",A148-WEEKDAY(A148,2)+1)</f>
        <v/>
      </c>
    </row>
    <row r="149">
      <c r="A149" s="14" t="n"/>
      <c r="B149" s="12" t="n"/>
      <c r="C149" s="12" t="n"/>
      <c r="D149" s="12" t="n"/>
      <c r="E149" s="12" t="n"/>
      <c r="F149" s="15">
        <f>IF(A149="","",A149-WEEKDAY(A149,2)+1)</f>
        <v/>
      </c>
    </row>
    <row r="150">
      <c r="A150" s="14" t="n"/>
      <c r="B150" s="12" t="n"/>
      <c r="C150" s="12" t="n"/>
      <c r="D150" s="12" t="n"/>
      <c r="E150" s="12" t="n"/>
      <c r="F150" s="15">
        <f>IF(A150="","",A150-WEEKDAY(A150,2)+1)</f>
        <v/>
      </c>
    </row>
    <row r="151">
      <c r="A151" s="14" t="n"/>
      <c r="B151" s="12" t="n"/>
      <c r="C151" s="12" t="n"/>
      <c r="D151" s="12" t="n"/>
      <c r="E151" s="12" t="n"/>
      <c r="F151" s="15">
        <f>IF(A151="","",A151-WEEKDAY(A151,2)+1)</f>
        <v/>
      </c>
    </row>
    <row r="152">
      <c r="A152" s="14" t="n"/>
      <c r="B152" s="12" t="n"/>
      <c r="C152" s="12" t="n"/>
      <c r="D152" s="12" t="n"/>
      <c r="E152" s="12" t="n"/>
      <c r="F152" s="15">
        <f>IF(A152="","",A152-WEEKDAY(A152,2)+1)</f>
        <v/>
      </c>
    </row>
    <row r="153">
      <c r="A153" s="14" t="n"/>
      <c r="B153" s="12" t="n"/>
      <c r="C153" s="12" t="n"/>
      <c r="D153" s="12" t="n"/>
      <c r="E153" s="12" t="n"/>
      <c r="F153" s="15">
        <f>IF(A153="","",A153-WEEKDAY(A153,2)+1)</f>
        <v/>
      </c>
    </row>
    <row r="154">
      <c r="A154" s="14" t="n"/>
      <c r="B154" s="12" t="n"/>
      <c r="C154" s="12" t="n"/>
      <c r="D154" s="12" t="n"/>
      <c r="E154" s="12" t="n"/>
      <c r="F154" s="15">
        <f>IF(A154="","",A154-WEEKDAY(A154,2)+1)</f>
        <v/>
      </c>
    </row>
    <row r="155">
      <c r="A155" s="14" t="n"/>
      <c r="B155" s="12" t="n"/>
      <c r="C155" s="12" t="n"/>
      <c r="D155" s="12" t="n"/>
      <c r="E155" s="12" t="n"/>
      <c r="F155" s="15">
        <f>IF(A155="","",A155-WEEKDAY(A155,2)+1)</f>
        <v/>
      </c>
    </row>
    <row r="156">
      <c r="A156" s="14" t="n"/>
      <c r="B156" s="12" t="n"/>
      <c r="C156" s="12" t="n"/>
      <c r="D156" s="12" t="n"/>
      <c r="E156" s="12" t="n"/>
      <c r="F156" s="15">
        <f>IF(A156="","",A156-WEEKDAY(A156,2)+1)</f>
        <v/>
      </c>
    </row>
    <row r="157">
      <c r="A157" s="14" t="n"/>
      <c r="B157" s="12" t="n"/>
      <c r="C157" s="12" t="n"/>
      <c r="D157" s="12" t="n"/>
      <c r="E157" s="12" t="n"/>
      <c r="F157" s="15">
        <f>IF(A157="","",A157-WEEKDAY(A157,2)+1)</f>
        <v/>
      </c>
    </row>
    <row r="158">
      <c r="A158" s="14" t="n"/>
      <c r="B158" s="12" t="n"/>
      <c r="C158" s="12" t="n"/>
      <c r="D158" s="12" t="n"/>
      <c r="E158" s="12" t="n"/>
      <c r="F158" s="15">
        <f>IF(A158="","",A158-WEEKDAY(A158,2)+1)</f>
        <v/>
      </c>
    </row>
    <row r="159">
      <c r="A159" s="14" t="n"/>
      <c r="B159" s="12" t="n"/>
      <c r="C159" s="12" t="n"/>
      <c r="D159" s="12" t="n"/>
      <c r="E159" s="12" t="n"/>
      <c r="F159" s="15">
        <f>IF(A159="","",A159-WEEKDAY(A159,2)+1)</f>
        <v/>
      </c>
    </row>
    <row r="160">
      <c r="A160" s="14" t="n"/>
      <c r="B160" s="12" t="n"/>
      <c r="C160" s="12" t="n"/>
      <c r="D160" s="12" t="n"/>
      <c r="E160" s="12" t="n"/>
      <c r="F160" s="15">
        <f>IF(A160="","",A160-WEEKDAY(A160,2)+1)</f>
        <v/>
      </c>
    </row>
    <row r="161">
      <c r="A161" s="14" t="n"/>
      <c r="B161" s="12" t="n"/>
      <c r="C161" s="12" t="n"/>
      <c r="D161" s="12" t="n"/>
      <c r="E161" s="12" t="n"/>
      <c r="F161" s="15">
        <f>IF(A161="","",A161-WEEKDAY(A161,2)+1)</f>
        <v/>
      </c>
    </row>
    <row r="162">
      <c r="A162" s="14" t="n"/>
      <c r="B162" s="12" t="n"/>
      <c r="C162" s="12" t="n"/>
      <c r="D162" s="12" t="n"/>
      <c r="E162" s="12" t="n"/>
      <c r="F162" s="15">
        <f>IF(A162="","",A162-WEEKDAY(A162,2)+1)</f>
        <v/>
      </c>
    </row>
    <row r="163">
      <c r="A163" s="14" t="n"/>
      <c r="B163" s="12" t="n"/>
      <c r="C163" s="12" t="n"/>
      <c r="D163" s="12" t="n"/>
      <c r="E163" s="12" t="n"/>
      <c r="F163" s="15">
        <f>IF(A163="","",A163-WEEKDAY(A163,2)+1)</f>
        <v/>
      </c>
    </row>
    <row r="164">
      <c r="A164" s="14" t="n"/>
      <c r="B164" s="12" t="n"/>
      <c r="C164" s="12" t="n"/>
      <c r="D164" s="12" t="n"/>
      <c r="E164" s="12" t="n"/>
      <c r="F164" s="15">
        <f>IF(A164="","",A164-WEEKDAY(A164,2)+1)</f>
        <v/>
      </c>
    </row>
    <row r="165">
      <c r="A165" s="14" t="n"/>
      <c r="B165" s="12" t="n"/>
      <c r="C165" s="12" t="n"/>
      <c r="D165" s="12" t="n"/>
      <c r="E165" s="12" t="n"/>
      <c r="F165" s="15">
        <f>IF(A165="","",A165-WEEKDAY(A165,2)+1)</f>
        <v/>
      </c>
    </row>
    <row r="166">
      <c r="A166" s="14" t="n"/>
      <c r="B166" s="12" t="n"/>
      <c r="C166" s="12" t="n"/>
      <c r="D166" s="12" t="n"/>
      <c r="E166" s="12" t="n"/>
      <c r="F166" s="15">
        <f>IF(A166="","",A166-WEEKDAY(A166,2)+1)</f>
        <v/>
      </c>
    </row>
    <row r="167">
      <c r="A167" s="14" t="n"/>
      <c r="B167" s="12" t="n"/>
      <c r="C167" s="12" t="n"/>
      <c r="D167" s="12" t="n"/>
      <c r="E167" s="12" t="n"/>
      <c r="F167" s="15">
        <f>IF(A167="","",A167-WEEKDAY(A167,2)+1)</f>
        <v/>
      </c>
    </row>
    <row r="168">
      <c r="A168" s="14" t="n"/>
      <c r="B168" s="12" t="n"/>
      <c r="C168" s="12" t="n"/>
      <c r="D168" s="12" t="n"/>
      <c r="E168" s="12" t="n"/>
      <c r="F168" s="15">
        <f>IF(A168="","",A168-WEEKDAY(A168,2)+1)</f>
        <v/>
      </c>
    </row>
    <row r="169">
      <c r="A169" s="14" t="n"/>
      <c r="B169" s="12" t="n"/>
      <c r="C169" s="12" t="n"/>
      <c r="D169" s="12" t="n"/>
      <c r="E169" s="12" t="n"/>
      <c r="F169" s="15">
        <f>IF(A169="","",A169-WEEKDAY(A169,2)+1)</f>
        <v/>
      </c>
    </row>
    <row r="170">
      <c r="A170" s="14" t="n"/>
      <c r="B170" s="12" t="n"/>
      <c r="C170" s="12" t="n"/>
      <c r="D170" s="12" t="n"/>
      <c r="E170" s="12" t="n"/>
      <c r="F170" s="15">
        <f>IF(A170="","",A170-WEEKDAY(A170,2)+1)</f>
        <v/>
      </c>
    </row>
    <row r="171">
      <c r="A171" s="14" t="n"/>
      <c r="B171" s="12" t="n"/>
      <c r="C171" s="12" t="n"/>
      <c r="D171" s="12" t="n"/>
      <c r="E171" s="12" t="n"/>
      <c r="F171" s="15">
        <f>IF(A171="","",A171-WEEKDAY(A171,2)+1)</f>
        <v/>
      </c>
    </row>
    <row r="172">
      <c r="A172" s="14" t="n"/>
      <c r="B172" s="12" t="n"/>
      <c r="C172" s="12" t="n"/>
      <c r="D172" s="12" t="n"/>
      <c r="E172" s="12" t="n"/>
      <c r="F172" s="15">
        <f>IF(A172="","",A172-WEEKDAY(A172,2)+1)</f>
        <v/>
      </c>
    </row>
    <row r="173">
      <c r="A173" s="14" t="n"/>
      <c r="B173" s="12" t="n"/>
      <c r="C173" s="12" t="n"/>
      <c r="D173" s="12" t="n"/>
      <c r="E173" s="12" t="n"/>
      <c r="F173" s="15">
        <f>IF(A173="","",A173-WEEKDAY(A173,2)+1)</f>
        <v/>
      </c>
    </row>
    <row r="174">
      <c r="A174" s="14" t="n"/>
      <c r="B174" s="12" t="n"/>
      <c r="C174" s="12" t="n"/>
      <c r="D174" s="12" t="n"/>
      <c r="E174" s="12" t="n"/>
      <c r="F174" s="15">
        <f>IF(A174="","",A174-WEEKDAY(A174,2)+1)</f>
        <v/>
      </c>
    </row>
    <row r="175">
      <c r="A175" s="14" t="n"/>
      <c r="B175" s="12" t="n"/>
      <c r="C175" s="12" t="n"/>
      <c r="D175" s="12" t="n"/>
      <c r="E175" s="12" t="n"/>
      <c r="F175" s="15">
        <f>IF(A175="","",A175-WEEKDAY(A175,2)+1)</f>
        <v/>
      </c>
    </row>
    <row r="176">
      <c r="A176" s="14" t="n"/>
      <c r="B176" s="12" t="n"/>
      <c r="C176" s="12" t="n"/>
      <c r="D176" s="12" t="n"/>
      <c r="E176" s="12" t="n"/>
      <c r="F176" s="15">
        <f>IF(A176="","",A176-WEEKDAY(A176,2)+1)</f>
        <v/>
      </c>
    </row>
    <row r="177">
      <c r="A177" s="14" t="n"/>
      <c r="B177" s="12" t="n"/>
      <c r="C177" s="12" t="n"/>
      <c r="D177" s="12" t="n"/>
      <c r="E177" s="12" t="n"/>
      <c r="F177" s="15">
        <f>IF(A177="","",A177-WEEKDAY(A177,2)+1)</f>
        <v/>
      </c>
    </row>
    <row r="178">
      <c r="A178" s="14" t="n"/>
      <c r="B178" s="12" t="n"/>
      <c r="C178" s="12" t="n"/>
      <c r="D178" s="12" t="n"/>
      <c r="E178" s="12" t="n"/>
      <c r="F178" s="15">
        <f>IF(A178="","",A178-WEEKDAY(A178,2)+1)</f>
        <v/>
      </c>
    </row>
    <row r="179">
      <c r="A179" s="14" t="n"/>
      <c r="B179" s="12" t="n"/>
      <c r="C179" s="12" t="n"/>
      <c r="D179" s="12" t="n"/>
      <c r="E179" s="12" t="n"/>
      <c r="F179" s="15">
        <f>IF(A179="","",A179-WEEKDAY(A179,2)+1)</f>
        <v/>
      </c>
    </row>
    <row r="180">
      <c r="A180" s="14" t="n"/>
      <c r="B180" s="12" t="n"/>
      <c r="C180" s="12" t="n"/>
      <c r="D180" s="12" t="n"/>
      <c r="E180" s="12" t="n"/>
      <c r="F180" s="15">
        <f>IF(A180="","",A180-WEEKDAY(A180,2)+1)</f>
        <v/>
      </c>
    </row>
    <row r="181">
      <c r="A181" s="14" t="n"/>
      <c r="B181" s="12" t="n"/>
      <c r="C181" s="12" t="n"/>
      <c r="D181" s="12" t="n"/>
      <c r="E181" s="12" t="n"/>
      <c r="F181" s="15">
        <f>IF(A181="","",A181-WEEKDAY(A181,2)+1)</f>
        <v/>
      </c>
    </row>
    <row r="182">
      <c r="A182" s="14" t="n"/>
      <c r="B182" s="12" t="n"/>
      <c r="C182" s="12" t="n"/>
      <c r="D182" s="12" t="n"/>
      <c r="E182" s="12" t="n"/>
      <c r="F182" s="15">
        <f>IF(A182="","",A182-WEEKDAY(A182,2)+1)</f>
        <v/>
      </c>
    </row>
    <row r="183">
      <c r="A183" s="14" t="n"/>
      <c r="B183" s="12" t="n"/>
      <c r="C183" s="12" t="n"/>
      <c r="D183" s="12" t="n"/>
      <c r="E183" s="12" t="n"/>
      <c r="F183" s="15">
        <f>IF(A183="","",A183-WEEKDAY(A183,2)+1)</f>
        <v/>
      </c>
    </row>
    <row r="184">
      <c r="A184" s="14" t="n"/>
      <c r="B184" s="12" t="n"/>
      <c r="C184" s="12" t="n"/>
      <c r="D184" s="12" t="n"/>
      <c r="E184" s="12" t="n"/>
      <c r="F184" s="15">
        <f>IF(A184="","",A184-WEEKDAY(A184,2)+1)</f>
        <v/>
      </c>
    </row>
    <row r="185">
      <c r="A185" s="14" t="n"/>
      <c r="B185" s="12" t="n"/>
      <c r="C185" s="12" t="n"/>
      <c r="D185" s="12" t="n"/>
      <c r="E185" s="12" t="n"/>
      <c r="F185" s="15">
        <f>IF(A185="","",A185-WEEKDAY(A185,2)+1)</f>
        <v/>
      </c>
    </row>
    <row r="186">
      <c r="A186" s="14" t="n"/>
      <c r="B186" s="12" t="n"/>
      <c r="C186" s="12" t="n"/>
      <c r="D186" s="12" t="n"/>
      <c r="E186" s="12" t="n"/>
      <c r="F186" s="15">
        <f>IF(A186="","",A186-WEEKDAY(A186,2)+1)</f>
        <v/>
      </c>
    </row>
    <row r="187">
      <c r="A187" s="14" t="n"/>
      <c r="B187" s="12" t="n"/>
      <c r="C187" s="12" t="n"/>
      <c r="D187" s="12" t="n"/>
      <c r="E187" s="12" t="n"/>
      <c r="F187" s="15">
        <f>IF(A187="","",A187-WEEKDAY(A187,2)+1)</f>
        <v/>
      </c>
    </row>
    <row r="188">
      <c r="A188" s="14" t="n"/>
      <c r="B188" s="12" t="n"/>
      <c r="C188" s="12" t="n"/>
      <c r="D188" s="12" t="n"/>
      <c r="E188" s="12" t="n"/>
      <c r="F188" s="15">
        <f>IF(A188="","",A188-WEEKDAY(A188,2)+1)</f>
        <v/>
      </c>
    </row>
    <row r="189">
      <c r="A189" s="14" t="n"/>
      <c r="B189" s="12" t="n"/>
      <c r="C189" s="12" t="n"/>
      <c r="D189" s="12" t="n"/>
      <c r="E189" s="12" t="n"/>
      <c r="F189" s="15">
        <f>IF(A189="","",A189-WEEKDAY(A189,2)+1)</f>
        <v/>
      </c>
    </row>
    <row r="190">
      <c r="A190" s="14" t="n"/>
      <c r="B190" s="12" t="n"/>
      <c r="C190" s="12" t="n"/>
      <c r="D190" s="12" t="n"/>
      <c r="E190" s="12" t="n"/>
      <c r="F190" s="15">
        <f>IF(A190="","",A190-WEEKDAY(A190,2)+1)</f>
        <v/>
      </c>
    </row>
    <row r="191">
      <c r="A191" s="14" t="n"/>
      <c r="B191" s="12" t="n"/>
      <c r="C191" s="12" t="n"/>
      <c r="D191" s="12" t="n"/>
      <c r="E191" s="12" t="n"/>
      <c r="F191" s="15">
        <f>IF(A191="","",A191-WEEKDAY(A191,2)+1)</f>
        <v/>
      </c>
    </row>
    <row r="192">
      <c r="A192" s="14" t="n"/>
      <c r="B192" s="12" t="n"/>
      <c r="C192" s="12" t="n"/>
      <c r="D192" s="12" t="n"/>
      <c r="E192" s="12" t="n"/>
      <c r="F192" s="15">
        <f>IF(A192="","",A192-WEEKDAY(A192,2)+1)</f>
        <v/>
      </c>
    </row>
    <row r="193">
      <c r="A193" s="14" t="n"/>
      <c r="B193" s="12" t="n"/>
      <c r="C193" s="12" t="n"/>
      <c r="D193" s="12" t="n"/>
      <c r="E193" s="12" t="n"/>
      <c r="F193" s="15">
        <f>IF(A193="","",A193-WEEKDAY(A193,2)+1)</f>
        <v/>
      </c>
    </row>
    <row r="194">
      <c r="A194" s="14" t="n"/>
      <c r="B194" s="12" t="n"/>
      <c r="C194" s="12" t="n"/>
      <c r="D194" s="12" t="n"/>
      <c r="E194" s="12" t="n"/>
      <c r="F194" s="15">
        <f>IF(A194="","",A194-WEEKDAY(A194,2)+1)</f>
        <v/>
      </c>
    </row>
    <row r="195">
      <c r="A195" s="14" t="n"/>
      <c r="B195" s="12" t="n"/>
      <c r="C195" s="12" t="n"/>
      <c r="D195" s="12" t="n"/>
      <c r="E195" s="12" t="n"/>
      <c r="F195" s="15">
        <f>IF(A195="","",A195-WEEKDAY(A195,2)+1)</f>
        <v/>
      </c>
    </row>
    <row r="196">
      <c r="A196" s="14" t="n"/>
      <c r="B196" s="12" t="n"/>
      <c r="C196" s="12" t="n"/>
      <c r="D196" s="12" t="n"/>
      <c r="E196" s="12" t="n"/>
      <c r="F196" s="15">
        <f>IF(A196="","",A196-WEEKDAY(A196,2)+1)</f>
        <v/>
      </c>
    </row>
    <row r="197">
      <c r="A197" s="14" t="n"/>
      <c r="B197" s="12" t="n"/>
      <c r="C197" s="12" t="n"/>
      <c r="D197" s="12" t="n"/>
      <c r="E197" s="12" t="n"/>
      <c r="F197" s="15">
        <f>IF(A197="","",A197-WEEKDAY(A197,2)+1)</f>
        <v/>
      </c>
    </row>
    <row r="198">
      <c r="A198" s="14" t="n"/>
      <c r="B198" s="12" t="n"/>
      <c r="C198" s="12" t="n"/>
      <c r="D198" s="12" t="n"/>
      <c r="E198" s="12" t="n"/>
      <c r="F198" s="15">
        <f>IF(A198="","",A198-WEEKDAY(A198,2)+1)</f>
        <v/>
      </c>
    </row>
    <row r="199">
      <c r="A199" s="14" t="n"/>
      <c r="B199" s="12" t="n"/>
      <c r="C199" s="12" t="n"/>
      <c r="D199" s="12" t="n"/>
      <c r="E199" s="12" t="n"/>
      <c r="F199" s="15">
        <f>IF(A199="","",A199-WEEKDAY(A199,2)+1)</f>
        <v/>
      </c>
    </row>
    <row r="200">
      <c r="A200" s="14" t="n"/>
      <c r="B200" s="12" t="n"/>
      <c r="C200" s="12" t="n"/>
      <c r="D200" s="12" t="n"/>
      <c r="E200" s="12" t="n"/>
      <c r="F200" s="15">
        <f>IF(A200="","",A200-WEEKDAY(A200,2)+1)</f>
        <v/>
      </c>
    </row>
    <row r="201">
      <c r="A201" s="14" t="n"/>
      <c r="B201" s="12" t="n"/>
      <c r="C201" s="12" t="n"/>
      <c r="D201" s="12" t="n"/>
      <c r="E201" s="12" t="n"/>
      <c r="F201" s="15">
        <f>IF(A201="","",A201-WEEKDAY(A201,2)+1)</f>
        <v/>
      </c>
    </row>
    <row r="202">
      <c r="A202" s="14" t="n"/>
      <c r="B202" s="12" t="n"/>
      <c r="C202" s="12" t="n"/>
      <c r="D202" s="12" t="n"/>
      <c r="E202" s="12" t="n"/>
      <c r="F202" s="15">
        <f>IF(A202="","",A202-WEEKDAY(A202,2)+1)</f>
        <v/>
      </c>
    </row>
    <row r="203">
      <c r="A203" s="14" t="n"/>
      <c r="B203" s="12" t="n"/>
      <c r="C203" s="12" t="n"/>
      <c r="D203" s="12" t="n"/>
      <c r="E203" s="12" t="n"/>
      <c r="F203" s="15">
        <f>IF(A203="","",A203-WEEKDAY(A203,2)+1)</f>
        <v/>
      </c>
    </row>
    <row r="204">
      <c r="A204" s="14" t="n"/>
      <c r="B204" s="12" t="n"/>
      <c r="C204" s="12" t="n"/>
      <c r="D204" s="12" t="n"/>
      <c r="E204" s="12" t="n"/>
      <c r="F204" s="15">
        <f>IF(A204="","",A204-WEEKDAY(A204,2)+1)</f>
        <v/>
      </c>
    </row>
    <row r="205">
      <c r="A205" s="14" t="n"/>
      <c r="B205" s="12" t="n"/>
      <c r="C205" s="12" t="n"/>
      <c r="D205" s="12" t="n"/>
      <c r="E205" s="12" t="n"/>
      <c r="F205" s="15">
        <f>IF(A205="","",A205-WEEKDAY(A205,2)+1)</f>
        <v/>
      </c>
    </row>
    <row r="206">
      <c r="A206" s="14" t="n"/>
      <c r="B206" s="12" t="n"/>
      <c r="C206" s="12" t="n"/>
      <c r="D206" s="12" t="n"/>
      <c r="E206" s="12" t="n"/>
      <c r="F206" s="15">
        <f>IF(A206="","",A206-WEEKDAY(A206,2)+1)</f>
        <v/>
      </c>
    </row>
    <row r="207">
      <c r="A207" s="14" t="n"/>
      <c r="B207" s="12" t="n"/>
      <c r="C207" s="12" t="n"/>
      <c r="D207" s="12" t="n"/>
      <c r="E207" s="12" t="n"/>
      <c r="F207" s="15">
        <f>IF(A207="","",A207-WEEKDAY(A207,2)+1)</f>
        <v/>
      </c>
    </row>
    <row r="208">
      <c r="A208" s="14" t="n"/>
      <c r="B208" s="12" t="n"/>
      <c r="C208" s="12" t="n"/>
      <c r="D208" s="12" t="n"/>
      <c r="E208" s="12" t="n"/>
      <c r="F208" s="15">
        <f>IF(A208="","",A208-WEEKDAY(A208,2)+1)</f>
        <v/>
      </c>
    </row>
    <row r="209">
      <c r="A209" s="14" t="n"/>
      <c r="B209" s="12" t="n"/>
      <c r="C209" s="12" t="n"/>
      <c r="D209" s="12" t="n"/>
      <c r="E209" s="12" t="n"/>
      <c r="F209" s="15">
        <f>IF(A209="","",A209-WEEKDAY(A209,2)+1)</f>
        <v/>
      </c>
    </row>
    <row r="210">
      <c r="A210" s="14" t="n"/>
      <c r="B210" s="12" t="n"/>
      <c r="C210" s="12" t="n"/>
      <c r="D210" s="12" t="n"/>
      <c r="E210" s="12" t="n"/>
      <c r="F210" s="15">
        <f>IF(A210="","",A210-WEEKDAY(A210,2)+1)</f>
        <v/>
      </c>
    </row>
    <row r="211">
      <c r="A211" s="14" t="n"/>
      <c r="B211" s="12" t="n"/>
      <c r="C211" s="12" t="n"/>
      <c r="D211" s="12" t="n"/>
      <c r="E211" s="12" t="n"/>
      <c r="F211" s="15">
        <f>IF(A211="","",A211-WEEKDAY(A211,2)+1)</f>
        <v/>
      </c>
    </row>
    <row r="212">
      <c r="A212" s="14" t="n"/>
      <c r="B212" s="12" t="n"/>
      <c r="C212" s="12" t="n"/>
      <c r="D212" s="12" t="n"/>
      <c r="E212" s="12" t="n"/>
      <c r="F212" s="15">
        <f>IF(A212="","",A212-WEEKDAY(A212,2)+1)</f>
        <v/>
      </c>
    </row>
    <row r="213">
      <c r="A213" s="14" t="n"/>
      <c r="B213" s="12" t="n"/>
      <c r="C213" s="12" t="n"/>
      <c r="D213" s="12" t="n"/>
      <c r="E213" s="12" t="n"/>
      <c r="F213" s="15">
        <f>IF(A213="","",A213-WEEKDAY(A213,2)+1)</f>
        <v/>
      </c>
    </row>
    <row r="214">
      <c r="A214" s="14" t="n"/>
      <c r="B214" s="12" t="n"/>
      <c r="C214" s="12" t="n"/>
      <c r="D214" s="12" t="n"/>
      <c r="E214" s="12" t="n"/>
      <c r="F214" s="15">
        <f>IF(A214="","",A214-WEEKDAY(A214,2)+1)</f>
        <v/>
      </c>
    </row>
    <row r="215">
      <c r="A215" s="14" t="n"/>
      <c r="B215" s="12" t="n"/>
      <c r="C215" s="12" t="n"/>
      <c r="D215" s="12" t="n"/>
      <c r="E215" s="12" t="n"/>
      <c r="F215" s="15">
        <f>IF(A215="","",A215-WEEKDAY(A215,2)+1)</f>
        <v/>
      </c>
    </row>
    <row r="216">
      <c r="A216" s="14" t="n"/>
      <c r="B216" s="12" t="n"/>
      <c r="C216" s="12" t="n"/>
      <c r="D216" s="12" t="n"/>
      <c r="E216" s="12" t="n"/>
      <c r="F216" s="15">
        <f>IF(A216="","",A216-WEEKDAY(A216,2)+1)</f>
        <v/>
      </c>
    </row>
    <row r="217">
      <c r="A217" s="14" t="n"/>
      <c r="B217" s="12" t="n"/>
      <c r="C217" s="12" t="n"/>
      <c r="D217" s="12" t="n"/>
      <c r="E217" s="12" t="n"/>
      <c r="F217" s="15">
        <f>IF(A217="","",A217-WEEKDAY(A217,2)+1)</f>
        <v/>
      </c>
    </row>
    <row r="218">
      <c r="A218" s="14" t="n"/>
      <c r="B218" s="12" t="n"/>
      <c r="C218" s="12" t="n"/>
      <c r="D218" s="12" t="n"/>
      <c r="E218" s="12" t="n"/>
      <c r="F218" s="15">
        <f>IF(A218="","",A218-WEEKDAY(A218,2)+1)</f>
        <v/>
      </c>
    </row>
    <row r="219">
      <c r="A219" s="14" t="n"/>
      <c r="B219" s="12" t="n"/>
      <c r="C219" s="12" t="n"/>
      <c r="D219" s="12" t="n"/>
      <c r="E219" s="12" t="n"/>
      <c r="F219" s="15">
        <f>IF(A219="","",A219-WEEKDAY(A219,2)+1)</f>
        <v/>
      </c>
    </row>
    <row r="220">
      <c r="A220" s="14" t="n"/>
      <c r="B220" s="12" t="n"/>
      <c r="C220" s="12" t="n"/>
      <c r="D220" s="12" t="n"/>
      <c r="E220" s="12" t="n"/>
      <c r="F220" s="15">
        <f>IF(A220="","",A220-WEEKDAY(A220,2)+1)</f>
        <v/>
      </c>
    </row>
    <row r="221">
      <c r="A221" s="14" t="n"/>
      <c r="B221" s="12" t="n"/>
      <c r="C221" s="12" t="n"/>
      <c r="D221" s="12" t="n"/>
      <c r="E221" s="12" t="n"/>
      <c r="F221" s="15">
        <f>IF(A221="","",A221-WEEKDAY(A221,2)+1)</f>
        <v/>
      </c>
    </row>
    <row r="222">
      <c r="A222" s="14" t="n"/>
      <c r="B222" s="12" t="n"/>
      <c r="C222" s="12" t="n"/>
      <c r="D222" s="12" t="n"/>
      <c r="E222" s="12" t="n"/>
      <c r="F222" s="15">
        <f>IF(A222="","",A222-WEEKDAY(A222,2)+1)</f>
        <v/>
      </c>
    </row>
    <row r="223">
      <c r="A223" s="14" t="n"/>
      <c r="B223" s="12" t="n"/>
      <c r="C223" s="12" t="n"/>
      <c r="D223" s="12" t="n"/>
      <c r="E223" s="12" t="n"/>
      <c r="F223" s="15">
        <f>IF(A223="","",A223-WEEKDAY(A223,2)+1)</f>
        <v/>
      </c>
    </row>
    <row r="224">
      <c r="A224" s="14" t="n"/>
      <c r="B224" s="12" t="n"/>
      <c r="C224" s="12" t="n"/>
      <c r="D224" s="12" t="n"/>
      <c r="E224" s="12" t="n"/>
      <c r="F224" s="15">
        <f>IF(A224="","",A224-WEEKDAY(A224,2)+1)</f>
        <v/>
      </c>
    </row>
    <row r="225">
      <c r="A225" s="14" t="n"/>
      <c r="B225" s="12" t="n"/>
      <c r="C225" s="12" t="n"/>
      <c r="D225" s="12" t="n"/>
      <c r="E225" s="12" t="n"/>
      <c r="F225" s="15">
        <f>IF(A225="","",A225-WEEKDAY(A225,2)+1)</f>
        <v/>
      </c>
    </row>
    <row r="226">
      <c r="A226" s="14" t="n"/>
      <c r="B226" s="12" t="n"/>
      <c r="C226" s="12" t="n"/>
      <c r="D226" s="12" t="n"/>
      <c r="E226" s="12" t="n"/>
      <c r="F226" s="15">
        <f>IF(A226="","",A226-WEEKDAY(A226,2)+1)</f>
        <v/>
      </c>
    </row>
    <row r="227">
      <c r="A227" s="14" t="n"/>
      <c r="B227" s="12" t="n"/>
      <c r="C227" s="12" t="n"/>
      <c r="D227" s="12" t="n"/>
      <c r="E227" s="12" t="n"/>
      <c r="F227" s="15">
        <f>IF(A227="","",A227-WEEKDAY(A227,2)+1)</f>
        <v/>
      </c>
    </row>
    <row r="228">
      <c r="A228" s="14" t="n"/>
      <c r="B228" s="12" t="n"/>
      <c r="C228" s="12" t="n"/>
      <c r="D228" s="12" t="n"/>
      <c r="E228" s="12" t="n"/>
      <c r="F228" s="15">
        <f>IF(A228="","",A228-WEEKDAY(A228,2)+1)</f>
        <v/>
      </c>
    </row>
    <row r="229">
      <c r="A229" s="14" t="n"/>
      <c r="B229" s="12" t="n"/>
      <c r="C229" s="12" t="n"/>
      <c r="D229" s="12" t="n"/>
      <c r="E229" s="12" t="n"/>
      <c r="F229" s="15">
        <f>IF(A229="","",A229-WEEKDAY(A229,2)+1)</f>
        <v/>
      </c>
    </row>
    <row r="230">
      <c r="A230" s="14" t="n"/>
      <c r="B230" s="12" t="n"/>
      <c r="C230" s="12" t="n"/>
      <c r="D230" s="12" t="n"/>
      <c r="E230" s="12" t="n"/>
      <c r="F230" s="15">
        <f>IF(A230="","",A230-WEEKDAY(A230,2)+1)</f>
        <v/>
      </c>
    </row>
    <row r="231">
      <c r="A231" s="14" t="n"/>
      <c r="B231" s="12" t="n"/>
      <c r="C231" s="12" t="n"/>
      <c r="D231" s="12" t="n"/>
      <c r="E231" s="12" t="n"/>
      <c r="F231" s="15">
        <f>IF(A231="","",A231-WEEKDAY(A231,2)+1)</f>
        <v/>
      </c>
    </row>
    <row r="232">
      <c r="A232" s="14" t="n"/>
      <c r="B232" s="12" t="n"/>
      <c r="C232" s="12" t="n"/>
      <c r="D232" s="12" t="n"/>
      <c r="E232" s="12" t="n"/>
      <c r="F232" s="15">
        <f>IF(A232="","",A232-WEEKDAY(A232,2)+1)</f>
        <v/>
      </c>
    </row>
    <row r="233">
      <c r="A233" s="14" t="n"/>
      <c r="B233" s="12" t="n"/>
      <c r="C233" s="12" t="n"/>
      <c r="D233" s="12" t="n"/>
      <c r="E233" s="12" t="n"/>
      <c r="F233" s="15">
        <f>IF(A233="","",A233-WEEKDAY(A233,2)+1)</f>
        <v/>
      </c>
    </row>
    <row r="234">
      <c r="A234" s="14" t="n"/>
      <c r="B234" s="12" t="n"/>
      <c r="C234" s="12" t="n"/>
      <c r="D234" s="12" t="n"/>
      <c r="E234" s="12" t="n"/>
      <c r="F234" s="15">
        <f>IF(A234="","",A234-WEEKDAY(A234,2)+1)</f>
        <v/>
      </c>
    </row>
    <row r="235">
      <c r="A235" s="14" t="n"/>
      <c r="B235" s="12" t="n"/>
      <c r="C235" s="12" t="n"/>
      <c r="D235" s="12" t="n"/>
      <c r="E235" s="12" t="n"/>
      <c r="F235" s="15">
        <f>IF(A235="","",A235-WEEKDAY(A235,2)+1)</f>
        <v/>
      </c>
    </row>
    <row r="236">
      <c r="A236" s="14" t="n"/>
      <c r="B236" s="12" t="n"/>
      <c r="C236" s="12" t="n"/>
      <c r="D236" s="12" t="n"/>
      <c r="E236" s="12" t="n"/>
      <c r="F236" s="15">
        <f>IF(A236="","",A236-WEEKDAY(A236,2)+1)</f>
        <v/>
      </c>
    </row>
    <row r="237">
      <c r="A237" s="14" t="n"/>
      <c r="B237" s="12" t="n"/>
      <c r="C237" s="12" t="n"/>
      <c r="D237" s="12" t="n"/>
      <c r="E237" s="12" t="n"/>
      <c r="F237" s="15">
        <f>IF(A237="","",A237-WEEKDAY(A237,2)+1)</f>
        <v/>
      </c>
    </row>
    <row r="238">
      <c r="A238" s="14" t="n"/>
      <c r="B238" s="12" t="n"/>
      <c r="C238" s="12" t="n"/>
      <c r="D238" s="12" t="n"/>
      <c r="E238" s="12" t="n"/>
      <c r="F238" s="15">
        <f>IF(A238="","",A238-WEEKDAY(A238,2)+1)</f>
        <v/>
      </c>
    </row>
    <row r="239">
      <c r="A239" s="14" t="n"/>
      <c r="B239" s="12" t="n"/>
      <c r="C239" s="12" t="n"/>
      <c r="D239" s="12" t="n"/>
      <c r="E239" s="12" t="n"/>
      <c r="F239" s="15">
        <f>IF(A239="","",A239-WEEKDAY(A239,2)+1)</f>
        <v/>
      </c>
    </row>
    <row r="240">
      <c r="A240" s="14" t="n"/>
      <c r="B240" s="12" t="n"/>
      <c r="C240" s="12" t="n"/>
      <c r="D240" s="12" t="n"/>
      <c r="E240" s="12" t="n"/>
      <c r="F240" s="15">
        <f>IF(A240="","",A240-WEEKDAY(A240,2)+1)</f>
        <v/>
      </c>
    </row>
    <row r="241">
      <c r="A241" s="14" t="n"/>
      <c r="B241" s="12" t="n"/>
      <c r="C241" s="12" t="n"/>
      <c r="D241" s="12" t="n"/>
      <c r="E241" s="12" t="n"/>
      <c r="F241" s="15">
        <f>IF(A241="","",A241-WEEKDAY(A241,2)+1)</f>
        <v/>
      </c>
    </row>
    <row r="242">
      <c r="A242" s="14" t="n"/>
      <c r="B242" s="12" t="n"/>
      <c r="C242" s="12" t="n"/>
      <c r="D242" s="12" t="n"/>
      <c r="E242" s="12" t="n"/>
      <c r="F242" s="15">
        <f>IF(A242="","",A242-WEEKDAY(A242,2)+1)</f>
        <v/>
      </c>
    </row>
    <row r="243">
      <c r="A243" s="14" t="n"/>
      <c r="B243" s="12" t="n"/>
      <c r="C243" s="12" t="n"/>
      <c r="D243" s="12" t="n"/>
      <c r="E243" s="12" t="n"/>
      <c r="F243" s="15">
        <f>IF(A243="","",A243-WEEKDAY(A243,2)+1)</f>
        <v/>
      </c>
    </row>
    <row r="244">
      <c r="A244" s="14" t="n"/>
      <c r="B244" s="12" t="n"/>
      <c r="C244" s="12" t="n"/>
      <c r="D244" s="12" t="n"/>
      <c r="E244" s="12" t="n"/>
      <c r="F244" s="15">
        <f>IF(A244="","",A244-WEEKDAY(A244,2)+1)</f>
        <v/>
      </c>
    </row>
    <row r="245">
      <c r="A245" s="14" t="n"/>
      <c r="B245" s="12" t="n"/>
      <c r="C245" s="12" t="n"/>
      <c r="D245" s="12" t="n"/>
      <c r="E245" s="12" t="n"/>
      <c r="F245" s="15">
        <f>IF(A245="","",A245-WEEKDAY(A245,2)+1)</f>
        <v/>
      </c>
    </row>
    <row r="246">
      <c r="A246" s="14" t="n"/>
      <c r="B246" s="12" t="n"/>
      <c r="C246" s="12" t="n"/>
      <c r="D246" s="12" t="n"/>
      <c r="E246" s="12" t="n"/>
      <c r="F246" s="15">
        <f>IF(A246="","",A246-WEEKDAY(A246,2)+1)</f>
        <v/>
      </c>
    </row>
    <row r="247">
      <c r="A247" s="14" t="n"/>
      <c r="B247" s="12" t="n"/>
      <c r="C247" s="12" t="n"/>
      <c r="D247" s="12" t="n"/>
      <c r="E247" s="12" t="n"/>
      <c r="F247" s="15">
        <f>IF(A247="","",A247-WEEKDAY(A247,2)+1)</f>
        <v/>
      </c>
    </row>
    <row r="248">
      <c r="A248" s="14" t="n"/>
      <c r="B248" s="12" t="n"/>
      <c r="C248" s="12" t="n"/>
      <c r="D248" s="12" t="n"/>
      <c r="E248" s="12" t="n"/>
      <c r="F248" s="15">
        <f>IF(A248="","",A248-WEEKDAY(A248,2)+1)</f>
        <v/>
      </c>
    </row>
    <row r="249">
      <c r="A249" s="14" t="n"/>
      <c r="B249" s="12" t="n"/>
      <c r="C249" s="12" t="n"/>
      <c r="D249" s="12" t="n"/>
      <c r="E249" s="12" t="n"/>
      <c r="F249" s="15">
        <f>IF(A249="","",A249-WEEKDAY(A249,2)+1)</f>
        <v/>
      </c>
    </row>
    <row r="250">
      <c r="A250" s="14" t="n"/>
      <c r="B250" s="12" t="n"/>
      <c r="C250" s="12" t="n"/>
      <c r="D250" s="12" t="n"/>
      <c r="E250" s="12" t="n"/>
      <c r="F250" s="15">
        <f>IF(A250="","",A250-WEEKDAY(A250,2)+1)</f>
        <v/>
      </c>
    </row>
    <row r="251">
      <c r="A251" s="14" t="n"/>
      <c r="B251" s="12" t="n"/>
      <c r="C251" s="12" t="n"/>
      <c r="D251" s="12" t="n"/>
      <c r="E251" s="12" t="n"/>
      <c r="F251" s="15">
        <f>IF(A251="","",A251-WEEKDAY(A251,2)+1)</f>
        <v/>
      </c>
    </row>
    <row r="252">
      <c r="A252" s="14" t="n"/>
      <c r="B252" s="12" t="n"/>
      <c r="C252" s="12" t="n"/>
      <c r="D252" s="12" t="n"/>
      <c r="E252" s="12" t="n"/>
      <c r="F252" s="15">
        <f>IF(A252="","",A252-WEEKDAY(A252,2)+1)</f>
        <v/>
      </c>
    </row>
    <row r="253">
      <c r="A253" s="14" t="n"/>
      <c r="B253" s="12" t="n"/>
      <c r="C253" s="12" t="n"/>
      <c r="D253" s="12" t="n"/>
      <c r="E253" s="12" t="n"/>
      <c r="F253" s="15">
        <f>IF(A253="","",A253-WEEKDAY(A253,2)+1)</f>
        <v/>
      </c>
    </row>
    <row r="254">
      <c r="A254" s="14" t="n"/>
      <c r="B254" s="12" t="n"/>
      <c r="C254" s="12" t="n"/>
      <c r="D254" s="12" t="n"/>
      <c r="E254" s="12" t="n"/>
      <c r="F254" s="15">
        <f>IF(A254="","",A254-WEEKDAY(A254,2)+1)</f>
        <v/>
      </c>
    </row>
    <row r="255">
      <c r="A255" s="14" t="n"/>
      <c r="B255" s="12" t="n"/>
      <c r="C255" s="12" t="n"/>
      <c r="D255" s="12" t="n"/>
      <c r="E255" s="12" t="n"/>
      <c r="F255" s="15">
        <f>IF(A255="","",A255-WEEKDAY(A255,2)+1)</f>
        <v/>
      </c>
    </row>
    <row r="256">
      <c r="A256" s="14" t="n"/>
      <c r="B256" s="12" t="n"/>
      <c r="C256" s="12" t="n"/>
      <c r="D256" s="12" t="n"/>
      <c r="E256" s="12" t="n"/>
      <c r="F256" s="15">
        <f>IF(A256="","",A256-WEEKDAY(A256,2)+1)</f>
        <v/>
      </c>
    </row>
    <row r="257">
      <c r="A257" s="14" t="n"/>
      <c r="B257" s="12" t="n"/>
      <c r="C257" s="12" t="n"/>
      <c r="D257" s="12" t="n"/>
      <c r="E257" s="12" t="n"/>
      <c r="F257" s="15">
        <f>IF(A257="","",A257-WEEKDAY(A257,2)+1)</f>
        <v/>
      </c>
    </row>
    <row r="258">
      <c r="A258" s="14" t="n"/>
      <c r="B258" s="12" t="n"/>
      <c r="C258" s="12" t="n"/>
      <c r="D258" s="12" t="n"/>
      <c r="E258" s="12" t="n"/>
      <c r="F258" s="15">
        <f>IF(A258="","",A258-WEEKDAY(A258,2)+1)</f>
        <v/>
      </c>
    </row>
    <row r="259">
      <c r="A259" s="14" t="n"/>
      <c r="B259" s="12" t="n"/>
      <c r="C259" s="12" t="n"/>
      <c r="D259" s="12" t="n"/>
      <c r="E259" s="12" t="n"/>
      <c r="F259" s="15">
        <f>IF(A259="","",A259-WEEKDAY(A259,2)+1)</f>
        <v/>
      </c>
    </row>
    <row r="260">
      <c r="A260" s="14" t="n"/>
      <c r="B260" s="12" t="n"/>
      <c r="C260" s="12" t="n"/>
      <c r="D260" s="12" t="n"/>
      <c r="E260" s="12" t="n"/>
      <c r="F260" s="15">
        <f>IF(A260="","",A260-WEEKDAY(A260,2)+1)</f>
        <v/>
      </c>
    </row>
    <row r="261">
      <c r="A261" s="14" t="n"/>
      <c r="B261" s="12" t="n"/>
      <c r="C261" s="12" t="n"/>
      <c r="D261" s="12" t="n"/>
      <c r="E261" s="12" t="n"/>
      <c r="F261" s="15">
        <f>IF(A261="","",A261-WEEKDAY(A261,2)+1)</f>
        <v/>
      </c>
    </row>
    <row r="262">
      <c r="A262" s="14" t="n"/>
      <c r="B262" s="12" t="n"/>
      <c r="C262" s="12" t="n"/>
      <c r="D262" s="12" t="n"/>
      <c r="E262" s="12" t="n"/>
      <c r="F262" s="15">
        <f>IF(A262="","",A262-WEEKDAY(A262,2)+1)</f>
        <v/>
      </c>
    </row>
    <row r="263">
      <c r="A263" s="14" t="n"/>
      <c r="B263" s="12" t="n"/>
      <c r="C263" s="12" t="n"/>
      <c r="D263" s="12" t="n"/>
      <c r="E263" s="12" t="n"/>
      <c r="F263" s="15">
        <f>IF(A263="","",A263-WEEKDAY(A263,2)+1)</f>
        <v/>
      </c>
    </row>
    <row r="264">
      <c r="A264" s="14" t="n"/>
      <c r="B264" s="12" t="n"/>
      <c r="C264" s="12" t="n"/>
      <c r="D264" s="12" t="n"/>
      <c r="E264" s="12" t="n"/>
      <c r="F264" s="15">
        <f>IF(A264="","",A264-WEEKDAY(A264,2)+1)</f>
        <v/>
      </c>
    </row>
    <row r="265">
      <c r="A265" s="14" t="n"/>
      <c r="B265" s="12" t="n"/>
      <c r="C265" s="12" t="n"/>
      <c r="D265" s="12" t="n"/>
      <c r="E265" s="12" t="n"/>
      <c r="F265" s="15">
        <f>IF(A265="","",A265-WEEKDAY(A265,2)+1)</f>
        <v/>
      </c>
    </row>
    <row r="266">
      <c r="A266" s="14" t="n"/>
      <c r="B266" s="12" t="n"/>
      <c r="C266" s="12" t="n"/>
      <c r="D266" s="12" t="n"/>
      <c r="E266" s="12" t="n"/>
      <c r="F266" s="15">
        <f>IF(A266="","",A266-WEEKDAY(A266,2)+1)</f>
        <v/>
      </c>
    </row>
    <row r="267">
      <c r="A267" s="14" t="n"/>
      <c r="B267" s="12" t="n"/>
      <c r="C267" s="12" t="n"/>
      <c r="D267" s="12" t="n"/>
      <c r="E267" s="12" t="n"/>
      <c r="F267" s="15">
        <f>IF(A267="","",A267-WEEKDAY(A267,2)+1)</f>
        <v/>
      </c>
    </row>
    <row r="268">
      <c r="A268" s="14" t="n"/>
      <c r="B268" s="12" t="n"/>
      <c r="C268" s="12" t="n"/>
      <c r="D268" s="12" t="n"/>
      <c r="E268" s="12" t="n"/>
      <c r="F268" s="15">
        <f>IF(A268="","",A268-WEEKDAY(A268,2)+1)</f>
        <v/>
      </c>
    </row>
    <row r="269">
      <c r="A269" s="14" t="n"/>
      <c r="B269" s="12" t="n"/>
      <c r="C269" s="12" t="n"/>
      <c r="D269" s="12" t="n"/>
      <c r="E269" s="12" t="n"/>
      <c r="F269" s="15">
        <f>IF(A269="","",A269-WEEKDAY(A269,2)+1)</f>
        <v/>
      </c>
    </row>
    <row r="270">
      <c r="A270" s="14" t="n"/>
      <c r="B270" s="12" t="n"/>
      <c r="C270" s="12" t="n"/>
      <c r="D270" s="12" t="n"/>
      <c r="E270" s="12" t="n"/>
      <c r="F270" s="15">
        <f>IF(A270="","",A270-WEEKDAY(A270,2)+1)</f>
        <v/>
      </c>
    </row>
    <row r="271">
      <c r="A271" s="14" t="n"/>
      <c r="B271" s="12" t="n"/>
      <c r="C271" s="12" t="n"/>
      <c r="D271" s="12" t="n"/>
      <c r="E271" s="12" t="n"/>
      <c r="F271" s="15">
        <f>IF(A271="","",A271-WEEKDAY(A271,2)+1)</f>
        <v/>
      </c>
    </row>
    <row r="272">
      <c r="A272" s="14" t="n"/>
      <c r="B272" s="12" t="n"/>
      <c r="C272" s="12" t="n"/>
      <c r="D272" s="12" t="n"/>
      <c r="E272" s="12" t="n"/>
      <c r="F272" s="15">
        <f>IF(A272="","",A272-WEEKDAY(A272,2)+1)</f>
        <v/>
      </c>
    </row>
    <row r="273">
      <c r="A273" s="14" t="n"/>
      <c r="B273" s="12" t="n"/>
      <c r="C273" s="12" t="n"/>
      <c r="D273" s="12" t="n"/>
      <c r="E273" s="12" t="n"/>
      <c r="F273" s="15">
        <f>IF(A273="","",A273-WEEKDAY(A273,2)+1)</f>
        <v/>
      </c>
    </row>
    <row r="274">
      <c r="A274" s="14" t="n"/>
      <c r="B274" s="12" t="n"/>
      <c r="C274" s="12" t="n"/>
      <c r="D274" s="12" t="n"/>
      <c r="E274" s="12" t="n"/>
      <c r="F274" s="15">
        <f>IF(A274="","",A274-WEEKDAY(A274,2)+1)</f>
        <v/>
      </c>
    </row>
    <row r="275">
      <c r="A275" s="14" t="n"/>
      <c r="B275" s="12" t="n"/>
      <c r="C275" s="12" t="n"/>
      <c r="D275" s="12" t="n"/>
      <c r="E275" s="12" t="n"/>
      <c r="F275" s="15">
        <f>IF(A275="","",A275-WEEKDAY(A275,2)+1)</f>
        <v/>
      </c>
    </row>
    <row r="276">
      <c r="A276" s="14" t="n"/>
      <c r="B276" s="12" t="n"/>
      <c r="C276" s="12" t="n"/>
      <c r="D276" s="12" t="n"/>
      <c r="E276" s="12" t="n"/>
      <c r="F276" s="15">
        <f>IF(A276="","",A276-WEEKDAY(A276,2)+1)</f>
        <v/>
      </c>
    </row>
    <row r="277">
      <c r="A277" s="14" t="n"/>
      <c r="B277" s="12" t="n"/>
      <c r="C277" s="12" t="n"/>
      <c r="D277" s="12" t="n"/>
      <c r="E277" s="12" t="n"/>
      <c r="F277" s="15">
        <f>IF(A277="","",A277-WEEKDAY(A277,2)+1)</f>
        <v/>
      </c>
    </row>
    <row r="278">
      <c r="A278" s="14" t="n"/>
      <c r="B278" s="12" t="n"/>
      <c r="C278" s="12" t="n"/>
      <c r="D278" s="12" t="n"/>
      <c r="E278" s="12" t="n"/>
      <c r="F278" s="15">
        <f>IF(A278="","",A278-WEEKDAY(A278,2)+1)</f>
        <v/>
      </c>
    </row>
    <row r="279">
      <c r="A279" s="14" t="n"/>
      <c r="B279" s="12" t="n"/>
      <c r="C279" s="12" t="n"/>
      <c r="D279" s="12" t="n"/>
      <c r="E279" s="12" t="n"/>
      <c r="F279" s="15">
        <f>IF(A279="","",A279-WEEKDAY(A279,2)+1)</f>
        <v/>
      </c>
    </row>
    <row r="280">
      <c r="A280" s="14" t="n"/>
      <c r="B280" s="12" t="n"/>
      <c r="C280" s="12" t="n"/>
      <c r="D280" s="12" t="n"/>
      <c r="E280" s="12" t="n"/>
      <c r="F280" s="15">
        <f>IF(A280="","",A280-WEEKDAY(A280,2)+1)</f>
        <v/>
      </c>
    </row>
    <row r="281">
      <c r="A281" s="14" t="n"/>
      <c r="B281" s="12" t="n"/>
      <c r="C281" s="12" t="n"/>
      <c r="D281" s="12" t="n"/>
      <c r="E281" s="12" t="n"/>
      <c r="F281" s="15">
        <f>IF(A281="","",A281-WEEKDAY(A281,2)+1)</f>
        <v/>
      </c>
    </row>
    <row r="282">
      <c r="A282" s="14" t="n"/>
      <c r="B282" s="12" t="n"/>
      <c r="C282" s="12" t="n"/>
      <c r="D282" s="12" t="n"/>
      <c r="E282" s="12" t="n"/>
      <c r="F282" s="15">
        <f>IF(A282="","",A282-WEEKDAY(A282,2)+1)</f>
        <v/>
      </c>
    </row>
    <row r="283">
      <c r="A283" s="14" t="n"/>
      <c r="B283" s="12" t="n"/>
      <c r="C283" s="12" t="n"/>
      <c r="D283" s="12" t="n"/>
      <c r="E283" s="12" t="n"/>
      <c r="F283" s="15">
        <f>IF(A283="","",A283-WEEKDAY(A283,2)+1)</f>
        <v/>
      </c>
    </row>
    <row r="284">
      <c r="A284" s="14" t="n"/>
      <c r="B284" s="12" t="n"/>
      <c r="C284" s="12" t="n"/>
      <c r="D284" s="12" t="n"/>
      <c r="E284" s="12" t="n"/>
      <c r="F284" s="15">
        <f>IF(A284="","",A284-WEEKDAY(A284,2)+1)</f>
        <v/>
      </c>
    </row>
    <row r="285">
      <c r="A285" s="14" t="n"/>
      <c r="B285" s="12" t="n"/>
      <c r="C285" s="12" t="n"/>
      <c r="D285" s="12" t="n"/>
      <c r="E285" s="12" t="n"/>
      <c r="F285" s="15">
        <f>IF(A285="","",A285-WEEKDAY(A285,2)+1)</f>
        <v/>
      </c>
    </row>
    <row r="286">
      <c r="A286" s="14" t="n"/>
      <c r="B286" s="12" t="n"/>
      <c r="C286" s="12" t="n"/>
      <c r="D286" s="12" t="n"/>
      <c r="E286" s="12" t="n"/>
      <c r="F286" s="15">
        <f>IF(A286="","",A286-WEEKDAY(A286,2)+1)</f>
        <v/>
      </c>
    </row>
    <row r="287">
      <c r="A287" s="14" t="n"/>
      <c r="B287" s="12" t="n"/>
      <c r="C287" s="12" t="n"/>
      <c r="D287" s="12" t="n"/>
      <c r="E287" s="12" t="n"/>
      <c r="F287" s="15">
        <f>IF(A287="","",A287-WEEKDAY(A287,2)+1)</f>
        <v/>
      </c>
    </row>
    <row r="288">
      <c r="A288" s="14" t="n"/>
      <c r="B288" s="12" t="n"/>
      <c r="C288" s="12" t="n"/>
      <c r="D288" s="12" t="n"/>
      <c r="E288" s="12" t="n"/>
      <c r="F288" s="15">
        <f>IF(A288="","",A288-WEEKDAY(A288,2)+1)</f>
        <v/>
      </c>
    </row>
    <row r="289">
      <c r="A289" s="14" t="n"/>
      <c r="B289" s="12" t="n"/>
      <c r="C289" s="12" t="n"/>
      <c r="D289" s="12" t="n"/>
      <c r="E289" s="12" t="n"/>
      <c r="F289" s="15">
        <f>IF(A289="","",A289-WEEKDAY(A289,2)+1)</f>
        <v/>
      </c>
    </row>
    <row r="290">
      <c r="A290" s="14" t="n"/>
      <c r="B290" s="12" t="n"/>
      <c r="C290" s="12" t="n"/>
      <c r="D290" s="12" t="n"/>
      <c r="E290" s="12" t="n"/>
      <c r="F290" s="15">
        <f>IF(A290="","",A290-WEEKDAY(A290,2)+1)</f>
        <v/>
      </c>
    </row>
    <row r="291">
      <c r="A291" s="14" t="n"/>
      <c r="B291" s="12" t="n"/>
      <c r="C291" s="12" t="n"/>
      <c r="D291" s="12" t="n"/>
      <c r="E291" s="12" t="n"/>
      <c r="F291" s="15">
        <f>IF(A291="","",A291-WEEKDAY(A291,2)+1)</f>
        <v/>
      </c>
    </row>
    <row r="292">
      <c r="A292" s="14" t="n"/>
      <c r="B292" s="12" t="n"/>
      <c r="C292" s="12" t="n"/>
      <c r="D292" s="12" t="n"/>
      <c r="E292" s="12" t="n"/>
      <c r="F292" s="15">
        <f>IF(A292="","",A292-WEEKDAY(A292,2)+1)</f>
        <v/>
      </c>
    </row>
    <row r="293">
      <c r="A293" s="14" t="n"/>
      <c r="B293" s="12" t="n"/>
      <c r="C293" s="12" t="n"/>
      <c r="D293" s="12" t="n"/>
      <c r="E293" s="12" t="n"/>
      <c r="F293" s="15">
        <f>IF(A293="","",A293-WEEKDAY(A293,2)+1)</f>
        <v/>
      </c>
    </row>
    <row r="294">
      <c r="A294" s="14" t="n"/>
      <c r="B294" s="12" t="n"/>
      <c r="C294" s="12" t="n"/>
      <c r="D294" s="12" t="n"/>
      <c r="E294" s="12" t="n"/>
      <c r="F294" s="15">
        <f>IF(A294="","",A294-WEEKDAY(A294,2)+1)</f>
        <v/>
      </c>
    </row>
    <row r="295">
      <c r="A295" s="14" t="n"/>
      <c r="B295" s="12" t="n"/>
      <c r="C295" s="12" t="n"/>
      <c r="D295" s="12" t="n"/>
      <c r="E295" s="12" t="n"/>
      <c r="F295" s="15">
        <f>IF(A295="","",A295-WEEKDAY(A295,2)+1)</f>
        <v/>
      </c>
    </row>
    <row r="296">
      <c r="A296" s="14" t="n"/>
      <c r="B296" s="12" t="n"/>
      <c r="C296" s="12" t="n"/>
      <c r="D296" s="12" t="n"/>
      <c r="E296" s="12" t="n"/>
      <c r="F296" s="15">
        <f>IF(A296="","",A296-WEEKDAY(A296,2)+1)</f>
        <v/>
      </c>
    </row>
    <row r="297">
      <c r="A297" s="14" t="n"/>
      <c r="B297" s="12" t="n"/>
      <c r="C297" s="12" t="n"/>
      <c r="D297" s="12" t="n"/>
      <c r="E297" s="12" t="n"/>
      <c r="F297" s="15">
        <f>IF(A297="","",A297-WEEKDAY(A297,2)+1)</f>
        <v/>
      </c>
    </row>
    <row r="298">
      <c r="A298" s="14" t="n"/>
      <c r="B298" s="12" t="n"/>
      <c r="C298" s="12" t="n"/>
      <c r="D298" s="12" t="n"/>
      <c r="E298" s="12" t="n"/>
      <c r="F298" s="15">
        <f>IF(A298="","",A298-WEEKDAY(A298,2)+1)</f>
        <v/>
      </c>
    </row>
    <row r="299">
      <c r="A299" s="14" t="n"/>
      <c r="B299" s="12" t="n"/>
      <c r="C299" s="12" t="n"/>
      <c r="D299" s="12" t="n"/>
      <c r="E299" s="12" t="n"/>
      <c r="F299" s="15">
        <f>IF(A299="","",A299-WEEKDAY(A299,2)+1)</f>
        <v/>
      </c>
    </row>
    <row r="300">
      <c r="A300" s="14" t="n"/>
      <c r="B300" s="12" t="n"/>
      <c r="C300" s="12" t="n"/>
      <c r="D300" s="12" t="n"/>
      <c r="E300" s="12" t="n"/>
      <c r="F300" s="15">
        <f>IF(A300="","",A300-WEEKDAY(A300,2)+1)</f>
        <v/>
      </c>
    </row>
    <row r="301">
      <c r="A301" s="14" t="n"/>
      <c r="B301" s="12" t="n"/>
      <c r="C301" s="12" t="n"/>
      <c r="D301" s="12" t="n"/>
      <c r="E301" s="12" t="n"/>
      <c r="F301" s="15">
        <f>IF(A301="","",A301-WEEKDAY(A301,2)+1)</f>
        <v/>
      </c>
    </row>
    <row r="302">
      <c r="A302" s="14" t="n"/>
      <c r="B302" s="12" t="n"/>
      <c r="C302" s="12" t="n"/>
      <c r="D302" s="12" t="n"/>
      <c r="E302" s="12" t="n"/>
      <c r="F302" s="15">
        <f>IF(A302="","",A302-WEEKDAY(A302,2)+1)</f>
        <v/>
      </c>
    </row>
    <row r="303">
      <c r="A303" s="14" t="n"/>
      <c r="B303" s="12" t="n"/>
      <c r="C303" s="12" t="n"/>
      <c r="D303" s="12" t="n"/>
      <c r="E303" s="12" t="n"/>
      <c r="F303" s="15">
        <f>IF(A303="","",A303-WEEKDAY(A303,2)+1)</f>
        <v/>
      </c>
    </row>
    <row r="304">
      <c r="A304" s="14" t="n"/>
      <c r="B304" s="12" t="n"/>
      <c r="C304" s="12" t="n"/>
      <c r="D304" s="12" t="n"/>
      <c r="E304" s="12" t="n"/>
      <c r="F304" s="15">
        <f>IF(A304="","",A304-WEEKDAY(A304,2)+1)</f>
        <v/>
      </c>
    </row>
    <row r="305">
      <c r="A305" s="14" t="n"/>
      <c r="B305" s="12" t="n"/>
      <c r="C305" s="12" t="n"/>
      <c r="D305" s="12" t="n"/>
      <c r="E305" s="12" t="n"/>
      <c r="F305" s="15">
        <f>IF(A305="","",A305-WEEKDAY(A305,2)+1)</f>
        <v/>
      </c>
    </row>
    <row r="306">
      <c r="A306" s="14" t="n"/>
      <c r="B306" s="12" t="n"/>
      <c r="C306" s="12" t="n"/>
      <c r="D306" s="12" t="n"/>
      <c r="E306" s="12" t="n"/>
      <c r="F306" s="15">
        <f>IF(A306="","",A306-WEEKDAY(A306,2)+1)</f>
        <v/>
      </c>
    </row>
    <row r="307">
      <c r="A307" s="14" t="n"/>
      <c r="B307" s="12" t="n"/>
      <c r="C307" s="12" t="n"/>
      <c r="D307" s="12" t="n"/>
      <c r="E307" s="12" t="n"/>
      <c r="F307" s="15">
        <f>IF(A307="","",A307-WEEKDAY(A307,2)+1)</f>
        <v/>
      </c>
    </row>
    <row r="308">
      <c r="A308" s="14" t="n"/>
      <c r="B308" s="12" t="n"/>
      <c r="C308" s="12" t="n"/>
      <c r="D308" s="12" t="n"/>
      <c r="E308" s="12" t="n"/>
      <c r="F308" s="15">
        <f>IF(A308="","",A308-WEEKDAY(A308,2)+1)</f>
        <v/>
      </c>
    </row>
    <row r="309">
      <c r="A309" s="14" t="n"/>
      <c r="B309" s="12" t="n"/>
      <c r="C309" s="12" t="n"/>
      <c r="D309" s="12" t="n"/>
      <c r="E309" s="12" t="n"/>
      <c r="F309" s="15">
        <f>IF(A309="","",A309-WEEKDAY(A309,2)+1)</f>
        <v/>
      </c>
    </row>
    <row r="310">
      <c r="A310" s="14" t="n"/>
      <c r="B310" s="12" t="n"/>
      <c r="C310" s="12" t="n"/>
      <c r="D310" s="12" t="n"/>
      <c r="E310" s="12" t="n"/>
      <c r="F310" s="15">
        <f>IF(A310="","",A310-WEEKDAY(A310,2)+1)</f>
        <v/>
      </c>
    </row>
    <row r="311">
      <c r="A311" s="14" t="n"/>
      <c r="B311" s="12" t="n"/>
      <c r="C311" s="12" t="n"/>
      <c r="D311" s="12" t="n"/>
      <c r="E311" s="12" t="n"/>
      <c r="F311" s="15">
        <f>IF(A311="","",A311-WEEKDAY(A311,2)+1)</f>
        <v/>
      </c>
    </row>
    <row r="312">
      <c r="A312" s="14" t="n"/>
      <c r="B312" s="12" t="n"/>
      <c r="C312" s="12" t="n"/>
      <c r="D312" s="12" t="n"/>
      <c r="E312" s="12" t="n"/>
      <c r="F312" s="15">
        <f>IF(A312="","",A312-WEEKDAY(A312,2)+1)</f>
        <v/>
      </c>
    </row>
    <row r="313">
      <c r="A313" s="14" t="n"/>
      <c r="B313" s="12" t="n"/>
      <c r="C313" s="12" t="n"/>
      <c r="D313" s="12" t="n"/>
      <c r="E313" s="12" t="n"/>
      <c r="F313" s="15">
        <f>IF(A313="","",A313-WEEKDAY(A313,2)+1)</f>
        <v/>
      </c>
    </row>
    <row r="314">
      <c r="A314" s="14" t="n"/>
      <c r="B314" s="12" t="n"/>
      <c r="C314" s="12" t="n"/>
      <c r="D314" s="12" t="n"/>
      <c r="E314" s="12" t="n"/>
      <c r="F314" s="15">
        <f>IF(A314="","",A314-WEEKDAY(A314,2)+1)</f>
        <v/>
      </c>
    </row>
    <row r="315">
      <c r="A315" s="14" t="n"/>
      <c r="B315" s="12" t="n"/>
      <c r="C315" s="12" t="n"/>
      <c r="D315" s="12" t="n"/>
      <c r="E315" s="12" t="n"/>
      <c r="F315" s="15">
        <f>IF(A315="","",A315-WEEKDAY(A315,2)+1)</f>
        <v/>
      </c>
    </row>
    <row r="316">
      <c r="A316" s="14" t="n"/>
      <c r="B316" s="12" t="n"/>
      <c r="C316" s="12" t="n"/>
      <c r="D316" s="12" t="n"/>
      <c r="E316" s="12" t="n"/>
      <c r="F316" s="15">
        <f>IF(A316="","",A316-WEEKDAY(A316,2)+1)</f>
        <v/>
      </c>
    </row>
    <row r="317">
      <c r="A317" s="14" t="n"/>
      <c r="B317" s="12" t="n"/>
      <c r="C317" s="12" t="n"/>
      <c r="D317" s="12" t="n"/>
      <c r="E317" s="12" t="n"/>
      <c r="F317" s="15">
        <f>IF(A317="","",A317-WEEKDAY(A317,2)+1)</f>
        <v/>
      </c>
    </row>
    <row r="318">
      <c r="A318" s="14" t="n"/>
      <c r="B318" s="12" t="n"/>
      <c r="C318" s="12" t="n"/>
      <c r="D318" s="12" t="n"/>
      <c r="E318" s="12" t="n"/>
      <c r="F318" s="15">
        <f>IF(A318="","",A318-WEEKDAY(A318,2)+1)</f>
        <v/>
      </c>
    </row>
    <row r="319">
      <c r="A319" s="14" t="n"/>
      <c r="B319" s="12" t="n"/>
      <c r="C319" s="12" t="n"/>
      <c r="D319" s="12" t="n"/>
      <c r="E319" s="12" t="n"/>
      <c r="F319" s="15">
        <f>IF(A319="","",A319-WEEKDAY(A319,2)+1)</f>
        <v/>
      </c>
    </row>
    <row r="320">
      <c r="A320" s="14" t="n"/>
      <c r="B320" s="12" t="n"/>
      <c r="C320" s="12" t="n"/>
      <c r="D320" s="12" t="n"/>
      <c r="E320" s="12" t="n"/>
      <c r="F320" s="15">
        <f>IF(A320="","",A320-WEEKDAY(A320,2)+1)</f>
        <v/>
      </c>
    </row>
    <row r="321">
      <c r="A321" s="14" t="n"/>
      <c r="B321" s="12" t="n"/>
      <c r="C321" s="12" t="n"/>
      <c r="D321" s="12" t="n"/>
      <c r="E321" s="12" t="n"/>
      <c r="F321" s="15">
        <f>IF(A321="","",A321-WEEKDAY(A321,2)+1)</f>
        <v/>
      </c>
    </row>
    <row r="322">
      <c r="A322" s="14" t="n"/>
      <c r="B322" s="12" t="n"/>
      <c r="C322" s="12" t="n"/>
      <c r="D322" s="12" t="n"/>
      <c r="E322" s="12" t="n"/>
      <c r="F322" s="15">
        <f>IF(A322="","",A322-WEEKDAY(A322,2)+1)</f>
        <v/>
      </c>
    </row>
    <row r="323">
      <c r="A323" s="14" t="n"/>
      <c r="B323" s="12" t="n"/>
      <c r="C323" s="12" t="n"/>
      <c r="D323" s="12" t="n"/>
      <c r="E323" s="12" t="n"/>
      <c r="F323" s="15">
        <f>IF(A323="","",A323-WEEKDAY(A323,2)+1)</f>
        <v/>
      </c>
    </row>
    <row r="324">
      <c r="A324" s="14" t="n"/>
      <c r="B324" s="12" t="n"/>
      <c r="C324" s="12" t="n"/>
      <c r="D324" s="12" t="n"/>
      <c r="E324" s="12" t="n"/>
      <c r="F324" s="15">
        <f>IF(A324="","",A324-WEEKDAY(A324,2)+1)</f>
        <v/>
      </c>
    </row>
    <row r="325">
      <c r="A325" s="14" t="n"/>
      <c r="B325" s="12" t="n"/>
      <c r="C325" s="12" t="n"/>
      <c r="D325" s="12" t="n"/>
      <c r="E325" s="12" t="n"/>
      <c r="F325" s="15">
        <f>IF(A325="","",A325-WEEKDAY(A325,2)+1)</f>
        <v/>
      </c>
    </row>
    <row r="326">
      <c r="A326" s="14" t="n"/>
      <c r="B326" s="12" t="n"/>
      <c r="C326" s="12" t="n"/>
      <c r="D326" s="12" t="n"/>
      <c r="E326" s="12" t="n"/>
      <c r="F326" s="15">
        <f>IF(A326="","",A326-WEEKDAY(A326,2)+1)</f>
        <v/>
      </c>
    </row>
    <row r="327">
      <c r="A327" s="14" t="n"/>
      <c r="B327" s="12" t="n"/>
      <c r="C327" s="12" t="n"/>
      <c r="D327" s="12" t="n"/>
      <c r="E327" s="12" t="n"/>
      <c r="F327" s="15">
        <f>IF(A327="","",A327-WEEKDAY(A327,2)+1)</f>
        <v/>
      </c>
    </row>
    <row r="328">
      <c r="A328" s="14" t="n"/>
      <c r="B328" s="12" t="n"/>
      <c r="C328" s="12" t="n"/>
      <c r="D328" s="12" t="n"/>
      <c r="E328" s="12" t="n"/>
      <c r="F328" s="15">
        <f>IF(A328="","",A328-WEEKDAY(A328,2)+1)</f>
        <v/>
      </c>
    </row>
    <row r="329">
      <c r="A329" s="14" t="n"/>
      <c r="B329" s="12" t="n"/>
      <c r="C329" s="12" t="n"/>
      <c r="D329" s="12" t="n"/>
      <c r="E329" s="12" t="n"/>
      <c r="F329" s="15">
        <f>IF(A329="","",A329-WEEKDAY(A329,2)+1)</f>
        <v/>
      </c>
    </row>
    <row r="330">
      <c r="A330" s="14" t="n"/>
      <c r="B330" s="12" t="n"/>
      <c r="C330" s="12" t="n"/>
      <c r="D330" s="12" t="n"/>
      <c r="E330" s="12" t="n"/>
      <c r="F330" s="15">
        <f>IF(A330="","",A330-WEEKDAY(A330,2)+1)</f>
        <v/>
      </c>
    </row>
    <row r="331">
      <c r="A331" s="14" t="n"/>
      <c r="B331" s="12" t="n"/>
      <c r="C331" s="12" t="n"/>
      <c r="D331" s="12" t="n"/>
      <c r="E331" s="12" t="n"/>
      <c r="F331" s="15">
        <f>IF(A331="","",A331-WEEKDAY(A331,2)+1)</f>
        <v/>
      </c>
    </row>
    <row r="332">
      <c r="A332" s="14" t="n"/>
      <c r="B332" s="12" t="n"/>
      <c r="C332" s="12" t="n"/>
      <c r="D332" s="12" t="n"/>
      <c r="E332" s="12" t="n"/>
      <c r="F332" s="15">
        <f>IF(A332="","",A332-WEEKDAY(A332,2)+1)</f>
        <v/>
      </c>
    </row>
    <row r="333">
      <c r="A333" s="14" t="n"/>
      <c r="B333" s="12" t="n"/>
      <c r="C333" s="12" t="n"/>
      <c r="D333" s="12" t="n"/>
      <c r="E333" s="12" t="n"/>
      <c r="F333" s="15">
        <f>IF(A333="","",A333-WEEKDAY(A333,2)+1)</f>
        <v/>
      </c>
    </row>
    <row r="334">
      <c r="A334" s="14" t="n"/>
      <c r="B334" s="12" t="n"/>
      <c r="C334" s="12" t="n"/>
      <c r="D334" s="12" t="n"/>
      <c r="E334" s="12" t="n"/>
      <c r="F334" s="15">
        <f>IF(A334="","",A334-WEEKDAY(A334,2)+1)</f>
        <v/>
      </c>
    </row>
    <row r="335">
      <c r="A335" s="14" t="n"/>
      <c r="B335" s="12" t="n"/>
      <c r="C335" s="12" t="n"/>
      <c r="D335" s="12" t="n"/>
      <c r="E335" s="12" t="n"/>
      <c r="F335" s="15">
        <f>IF(A335="","",A335-WEEKDAY(A335,2)+1)</f>
        <v/>
      </c>
    </row>
    <row r="336">
      <c r="A336" s="14" t="n"/>
      <c r="B336" s="12" t="n"/>
      <c r="C336" s="12" t="n"/>
      <c r="D336" s="12" t="n"/>
      <c r="E336" s="12" t="n"/>
      <c r="F336" s="15">
        <f>IF(A336="","",A336-WEEKDAY(A336,2)+1)</f>
        <v/>
      </c>
    </row>
    <row r="337">
      <c r="A337" s="14" t="n"/>
      <c r="B337" s="12" t="n"/>
      <c r="C337" s="12" t="n"/>
      <c r="D337" s="12" t="n"/>
      <c r="E337" s="12" t="n"/>
      <c r="F337" s="15">
        <f>IF(A337="","",A337-WEEKDAY(A337,2)+1)</f>
        <v/>
      </c>
    </row>
    <row r="338">
      <c r="A338" s="14" t="n"/>
      <c r="B338" s="12" t="n"/>
      <c r="C338" s="12" t="n"/>
      <c r="D338" s="12" t="n"/>
      <c r="E338" s="12" t="n"/>
      <c r="F338" s="15">
        <f>IF(A338="","",A338-WEEKDAY(A338,2)+1)</f>
        <v/>
      </c>
    </row>
    <row r="339">
      <c r="A339" s="14" t="n"/>
      <c r="B339" s="12" t="n"/>
      <c r="C339" s="12" t="n"/>
      <c r="D339" s="12" t="n"/>
      <c r="E339" s="12" t="n"/>
      <c r="F339" s="15">
        <f>IF(A339="","",A339-WEEKDAY(A339,2)+1)</f>
        <v/>
      </c>
    </row>
    <row r="340">
      <c r="A340" s="14" t="n"/>
      <c r="B340" s="12" t="n"/>
      <c r="C340" s="12" t="n"/>
      <c r="D340" s="12" t="n"/>
      <c r="E340" s="12" t="n"/>
      <c r="F340" s="15">
        <f>IF(A340="","",A340-WEEKDAY(A340,2)+1)</f>
        <v/>
      </c>
    </row>
    <row r="341">
      <c r="A341" s="14" t="n"/>
      <c r="B341" s="12" t="n"/>
      <c r="C341" s="12" t="n"/>
      <c r="D341" s="12" t="n"/>
      <c r="E341" s="12" t="n"/>
      <c r="F341" s="15">
        <f>IF(A341="","",A341-WEEKDAY(A341,2)+1)</f>
        <v/>
      </c>
    </row>
    <row r="342">
      <c r="A342" s="14" t="n"/>
      <c r="B342" s="12" t="n"/>
      <c r="C342" s="12" t="n"/>
      <c r="D342" s="12" t="n"/>
      <c r="E342" s="12" t="n"/>
      <c r="F342" s="15">
        <f>IF(A342="","",A342-WEEKDAY(A342,2)+1)</f>
        <v/>
      </c>
    </row>
    <row r="343">
      <c r="A343" s="14" t="n"/>
      <c r="B343" s="12" t="n"/>
      <c r="C343" s="12" t="n"/>
      <c r="D343" s="12" t="n"/>
      <c r="E343" s="12" t="n"/>
      <c r="F343" s="15">
        <f>IF(A343="","",A343-WEEKDAY(A343,2)+1)</f>
        <v/>
      </c>
    </row>
    <row r="344">
      <c r="A344" s="14" t="n"/>
      <c r="B344" s="12" t="n"/>
      <c r="C344" s="12" t="n"/>
      <c r="D344" s="12" t="n"/>
      <c r="E344" s="12" t="n"/>
      <c r="F344" s="15">
        <f>IF(A344="","",A344-WEEKDAY(A344,2)+1)</f>
        <v/>
      </c>
    </row>
    <row r="345">
      <c r="A345" s="14" t="n"/>
      <c r="B345" s="12" t="n"/>
      <c r="C345" s="12" t="n"/>
      <c r="D345" s="12" t="n"/>
      <c r="E345" s="12" t="n"/>
      <c r="F345" s="15">
        <f>IF(A345="","",A345-WEEKDAY(A345,2)+1)</f>
        <v/>
      </c>
    </row>
    <row r="346">
      <c r="A346" s="14" t="n"/>
      <c r="B346" s="12" t="n"/>
      <c r="C346" s="12" t="n"/>
      <c r="D346" s="12" t="n"/>
      <c r="E346" s="12" t="n"/>
      <c r="F346" s="15">
        <f>IF(A346="","",A346-WEEKDAY(A346,2)+1)</f>
        <v/>
      </c>
    </row>
    <row r="347">
      <c r="A347" s="14" t="n"/>
      <c r="B347" s="12" t="n"/>
      <c r="C347" s="12" t="n"/>
      <c r="D347" s="12" t="n"/>
      <c r="E347" s="12" t="n"/>
      <c r="F347" s="15">
        <f>IF(A347="","",A347-WEEKDAY(A347,2)+1)</f>
        <v/>
      </c>
    </row>
    <row r="348">
      <c r="A348" s="14" t="n"/>
      <c r="B348" s="12" t="n"/>
      <c r="C348" s="12" t="n"/>
      <c r="D348" s="12" t="n"/>
      <c r="E348" s="12" t="n"/>
      <c r="F348" s="15">
        <f>IF(A348="","",A348-WEEKDAY(A348,2)+1)</f>
        <v/>
      </c>
    </row>
    <row r="349">
      <c r="A349" s="14" t="n"/>
      <c r="B349" s="12" t="n"/>
      <c r="C349" s="12" t="n"/>
      <c r="D349" s="12" t="n"/>
      <c r="E349" s="12" t="n"/>
      <c r="F349" s="15">
        <f>IF(A349="","",A349-WEEKDAY(A349,2)+1)</f>
        <v/>
      </c>
    </row>
    <row r="350">
      <c r="A350" s="14" t="n"/>
      <c r="B350" s="12" t="n"/>
      <c r="C350" s="12" t="n"/>
      <c r="D350" s="12" t="n"/>
      <c r="E350" s="12" t="n"/>
      <c r="F350" s="15">
        <f>IF(A350="","",A350-WEEKDAY(A350,2)+1)</f>
        <v/>
      </c>
    </row>
    <row r="351">
      <c r="A351" s="14" t="n"/>
      <c r="B351" s="12" t="n"/>
      <c r="C351" s="12" t="n"/>
      <c r="D351" s="12" t="n"/>
      <c r="E351" s="12" t="n"/>
      <c r="F351" s="15">
        <f>IF(A351="","",A351-WEEKDAY(A351,2)+1)</f>
        <v/>
      </c>
    </row>
    <row r="352">
      <c r="A352" s="14" t="n"/>
      <c r="B352" s="12" t="n"/>
      <c r="C352" s="12" t="n"/>
      <c r="D352" s="12" t="n"/>
      <c r="E352" s="12" t="n"/>
      <c r="F352" s="15">
        <f>IF(A352="","",A352-WEEKDAY(A352,2)+1)</f>
        <v/>
      </c>
    </row>
    <row r="353">
      <c r="A353" s="14" t="n"/>
      <c r="B353" s="12" t="n"/>
      <c r="C353" s="12" t="n"/>
      <c r="D353" s="12" t="n"/>
      <c r="E353" s="12" t="n"/>
      <c r="F353" s="15">
        <f>IF(A353="","",A353-WEEKDAY(A353,2)+1)</f>
        <v/>
      </c>
    </row>
    <row r="354">
      <c r="A354" s="14" t="n"/>
      <c r="B354" s="12" t="n"/>
      <c r="C354" s="12" t="n"/>
      <c r="D354" s="12" t="n"/>
      <c r="E354" s="12" t="n"/>
      <c r="F354" s="15">
        <f>IF(A354="","",A354-WEEKDAY(A354,2)+1)</f>
        <v/>
      </c>
    </row>
    <row r="355">
      <c r="A355" s="14" t="n"/>
      <c r="B355" s="12" t="n"/>
      <c r="C355" s="12" t="n"/>
      <c r="D355" s="12" t="n"/>
      <c r="E355" s="12" t="n"/>
      <c r="F355" s="15">
        <f>IF(A355="","",A355-WEEKDAY(A355,2)+1)</f>
        <v/>
      </c>
    </row>
    <row r="356">
      <c r="A356" s="14" t="n"/>
      <c r="B356" s="12" t="n"/>
      <c r="C356" s="12" t="n"/>
      <c r="D356" s="12" t="n"/>
      <c r="E356" s="12" t="n"/>
      <c r="F356" s="15">
        <f>IF(A356="","",A356-WEEKDAY(A356,2)+1)</f>
        <v/>
      </c>
    </row>
    <row r="357">
      <c r="A357" s="14" t="n"/>
      <c r="B357" s="12" t="n"/>
      <c r="C357" s="12" t="n"/>
      <c r="D357" s="12" t="n"/>
      <c r="E357" s="12" t="n"/>
      <c r="F357" s="15">
        <f>IF(A357="","",A357-WEEKDAY(A357,2)+1)</f>
        <v/>
      </c>
    </row>
    <row r="358">
      <c r="A358" s="14" t="n"/>
      <c r="B358" s="12" t="n"/>
      <c r="C358" s="12" t="n"/>
      <c r="D358" s="12" t="n"/>
      <c r="E358" s="12" t="n"/>
      <c r="F358" s="15">
        <f>IF(A358="","",A358-WEEKDAY(A358,2)+1)</f>
        <v/>
      </c>
    </row>
    <row r="359">
      <c r="A359" s="14" t="n"/>
      <c r="B359" s="12" t="n"/>
      <c r="C359" s="12" t="n"/>
      <c r="D359" s="12" t="n"/>
      <c r="E359" s="12" t="n"/>
      <c r="F359" s="15">
        <f>IF(A359="","",A359-WEEKDAY(A359,2)+1)</f>
        <v/>
      </c>
    </row>
    <row r="360">
      <c r="A360" s="14" t="n"/>
      <c r="B360" s="12" t="n"/>
      <c r="C360" s="12" t="n"/>
      <c r="D360" s="12" t="n"/>
      <c r="E360" s="12" t="n"/>
      <c r="F360" s="15">
        <f>IF(A360="","",A360-WEEKDAY(A360,2)+1)</f>
        <v/>
      </c>
    </row>
    <row r="361">
      <c r="A361" s="14" t="n"/>
      <c r="B361" s="12" t="n"/>
      <c r="C361" s="12" t="n"/>
      <c r="D361" s="12" t="n"/>
      <c r="E361" s="12" t="n"/>
      <c r="F361" s="15">
        <f>IF(A361="","",A361-WEEKDAY(A361,2)+1)</f>
        <v/>
      </c>
    </row>
    <row r="362">
      <c r="A362" s="14" t="n"/>
      <c r="B362" s="12" t="n"/>
      <c r="C362" s="12" t="n"/>
      <c r="D362" s="12" t="n"/>
      <c r="E362" s="12" t="n"/>
      <c r="F362" s="15">
        <f>IF(A362="","",A362-WEEKDAY(A362,2)+1)</f>
        <v/>
      </c>
    </row>
    <row r="363">
      <c r="A363" s="14" t="n"/>
      <c r="B363" s="12" t="n"/>
      <c r="C363" s="12" t="n"/>
      <c r="D363" s="12" t="n"/>
      <c r="E363" s="12" t="n"/>
      <c r="F363" s="15">
        <f>IF(A363="","",A363-WEEKDAY(A363,2)+1)</f>
        <v/>
      </c>
    </row>
    <row r="364">
      <c r="A364" s="14" t="n"/>
      <c r="B364" s="12" t="n"/>
      <c r="C364" s="12" t="n"/>
      <c r="D364" s="12" t="n"/>
      <c r="E364" s="12" t="n"/>
      <c r="F364" s="15">
        <f>IF(A364="","",A364-WEEKDAY(A364,2)+1)</f>
        <v/>
      </c>
    </row>
    <row r="365">
      <c r="A365" s="14" t="n"/>
      <c r="B365" s="12" t="n"/>
      <c r="C365" s="12" t="n"/>
      <c r="D365" s="12" t="n"/>
      <c r="E365" s="12" t="n"/>
      <c r="F365" s="15">
        <f>IF(A365="","",A365-WEEKDAY(A365,2)+1)</f>
        <v/>
      </c>
    </row>
    <row r="366">
      <c r="A366" s="14" t="n"/>
      <c r="B366" s="12" t="n"/>
      <c r="C366" s="12" t="n"/>
      <c r="D366" s="12" t="n"/>
      <c r="E366" s="12" t="n"/>
      <c r="F366" s="15">
        <f>IF(A366="","",A366-WEEKDAY(A366,2)+1)</f>
        <v/>
      </c>
    </row>
    <row r="367">
      <c r="A367" s="14" t="n"/>
      <c r="B367" s="12" t="n"/>
      <c r="C367" s="12" t="n"/>
      <c r="D367" s="12" t="n"/>
      <c r="E367" s="12" t="n"/>
      <c r="F367" s="15">
        <f>IF(A367="","",A367-WEEKDAY(A367,2)+1)</f>
        <v/>
      </c>
    </row>
    <row r="368">
      <c r="A368" s="14" t="n"/>
      <c r="B368" s="12" t="n"/>
      <c r="C368" s="12" t="n"/>
      <c r="D368" s="12" t="n"/>
      <c r="E368" s="12" t="n"/>
      <c r="F368" s="15">
        <f>IF(A368="","",A368-WEEKDAY(A368,2)+1)</f>
        <v/>
      </c>
    </row>
    <row r="369">
      <c r="A369" s="14" t="n"/>
      <c r="B369" s="12" t="n"/>
      <c r="C369" s="12" t="n"/>
      <c r="D369" s="12" t="n"/>
      <c r="E369" s="12" t="n"/>
      <c r="F369" s="15">
        <f>IF(A369="","",A369-WEEKDAY(A369,2)+1)</f>
        <v/>
      </c>
    </row>
    <row r="370">
      <c r="A370" s="14" t="n"/>
      <c r="B370" s="12" t="n"/>
      <c r="C370" s="12" t="n"/>
      <c r="D370" s="12" t="n"/>
      <c r="E370" s="12" t="n"/>
      <c r="F370" s="15">
        <f>IF(A370="","",A370-WEEKDAY(A370,2)+1)</f>
        <v/>
      </c>
    </row>
    <row r="371">
      <c r="A371" s="14" t="n"/>
      <c r="B371" s="12" t="n"/>
      <c r="C371" s="12" t="n"/>
      <c r="D371" s="12" t="n"/>
      <c r="E371" s="12" t="n"/>
      <c r="F371" s="15">
        <f>IF(A371="","",A371-WEEKDAY(A371,2)+1)</f>
        <v/>
      </c>
    </row>
    <row r="372">
      <c r="A372" s="14" t="n"/>
      <c r="B372" s="12" t="n"/>
      <c r="C372" s="12" t="n"/>
      <c r="D372" s="12" t="n"/>
      <c r="E372" s="12" t="n"/>
      <c r="F372" s="15">
        <f>IF(A372="","",A372-WEEKDAY(A372,2)+1)</f>
        <v/>
      </c>
    </row>
    <row r="373">
      <c r="A373" s="14" t="n"/>
      <c r="B373" s="12" t="n"/>
      <c r="C373" s="12" t="n"/>
      <c r="D373" s="12" t="n"/>
      <c r="E373" s="12" t="n"/>
      <c r="F373" s="15">
        <f>IF(A373="","",A373-WEEKDAY(A373,2)+1)</f>
        <v/>
      </c>
    </row>
    <row r="374">
      <c r="A374" s="14" t="n"/>
      <c r="B374" s="12" t="n"/>
      <c r="C374" s="12" t="n"/>
      <c r="D374" s="12" t="n"/>
      <c r="E374" s="12" t="n"/>
      <c r="F374" s="15">
        <f>IF(A374="","",A374-WEEKDAY(A374,2)+1)</f>
        <v/>
      </c>
    </row>
    <row r="375">
      <c r="A375" s="14" t="n"/>
      <c r="B375" s="12" t="n"/>
      <c r="C375" s="12" t="n"/>
      <c r="D375" s="12" t="n"/>
      <c r="E375" s="12" t="n"/>
      <c r="F375" s="15">
        <f>IF(A375="","",A375-WEEKDAY(A375,2)+1)</f>
        <v/>
      </c>
    </row>
    <row r="376">
      <c r="A376" s="14" t="n"/>
      <c r="B376" s="12" t="n"/>
      <c r="C376" s="12" t="n"/>
      <c r="D376" s="12" t="n"/>
      <c r="E376" s="12" t="n"/>
      <c r="F376" s="15">
        <f>IF(A376="","",A376-WEEKDAY(A376,2)+1)</f>
        <v/>
      </c>
    </row>
    <row r="377">
      <c r="A377" s="14" t="n"/>
      <c r="B377" s="12" t="n"/>
      <c r="C377" s="12" t="n"/>
      <c r="D377" s="12" t="n"/>
      <c r="E377" s="12" t="n"/>
      <c r="F377" s="15">
        <f>IF(A377="","",A377-WEEKDAY(A377,2)+1)</f>
        <v/>
      </c>
    </row>
    <row r="378">
      <c r="A378" s="14" t="n"/>
      <c r="B378" s="12" t="n"/>
      <c r="C378" s="12" t="n"/>
      <c r="D378" s="12" t="n"/>
      <c r="E378" s="12" t="n"/>
      <c r="F378" s="15">
        <f>IF(A378="","",A378-WEEKDAY(A378,2)+1)</f>
        <v/>
      </c>
    </row>
    <row r="379">
      <c r="A379" s="14" t="n"/>
      <c r="B379" s="12" t="n"/>
      <c r="C379" s="12" t="n"/>
      <c r="D379" s="12" t="n"/>
      <c r="E379" s="12" t="n"/>
      <c r="F379" s="15">
        <f>IF(A379="","",A379-WEEKDAY(A379,2)+1)</f>
        <v/>
      </c>
    </row>
    <row r="380">
      <c r="A380" s="14" t="n"/>
      <c r="B380" s="12" t="n"/>
      <c r="C380" s="12" t="n"/>
      <c r="D380" s="12" t="n"/>
      <c r="E380" s="12" t="n"/>
      <c r="F380" s="15">
        <f>IF(A380="","",A380-WEEKDAY(A380,2)+1)</f>
        <v/>
      </c>
    </row>
    <row r="381">
      <c r="A381" s="14" t="n"/>
      <c r="B381" s="12" t="n"/>
      <c r="C381" s="12" t="n"/>
      <c r="D381" s="12" t="n"/>
      <c r="E381" s="12" t="n"/>
      <c r="F381" s="15">
        <f>IF(A381="","",A381-WEEKDAY(A381,2)+1)</f>
        <v/>
      </c>
    </row>
    <row r="382">
      <c r="A382" s="14" t="n"/>
      <c r="B382" s="12" t="n"/>
      <c r="C382" s="12" t="n"/>
      <c r="D382" s="12" t="n"/>
      <c r="E382" s="12" t="n"/>
      <c r="F382" s="15">
        <f>IF(A382="","",A382-WEEKDAY(A382,2)+1)</f>
        <v/>
      </c>
    </row>
    <row r="383">
      <c r="A383" s="14" t="n"/>
      <c r="B383" s="12" t="n"/>
      <c r="C383" s="12" t="n"/>
      <c r="D383" s="12" t="n"/>
      <c r="E383" s="12" t="n"/>
      <c r="F383" s="15">
        <f>IF(A383="","",A383-WEEKDAY(A383,2)+1)</f>
        <v/>
      </c>
    </row>
    <row r="384">
      <c r="A384" s="14" t="n"/>
      <c r="B384" s="12" t="n"/>
      <c r="C384" s="12" t="n"/>
      <c r="D384" s="12" t="n"/>
      <c r="E384" s="12" t="n"/>
      <c r="F384" s="15">
        <f>IF(A384="","",A384-WEEKDAY(A384,2)+1)</f>
        <v/>
      </c>
    </row>
    <row r="385">
      <c r="A385" s="14" t="n"/>
      <c r="B385" s="12" t="n"/>
      <c r="C385" s="12" t="n"/>
      <c r="D385" s="12" t="n"/>
      <c r="E385" s="12" t="n"/>
      <c r="F385" s="15">
        <f>IF(A385="","",A385-WEEKDAY(A385,2)+1)</f>
        <v/>
      </c>
    </row>
    <row r="386">
      <c r="A386" s="14" t="n"/>
      <c r="B386" s="12" t="n"/>
      <c r="C386" s="12" t="n"/>
      <c r="D386" s="12" t="n"/>
      <c r="E386" s="12" t="n"/>
      <c r="F386" s="15">
        <f>IF(A386="","",A386-WEEKDAY(A386,2)+1)</f>
        <v/>
      </c>
    </row>
    <row r="387">
      <c r="A387" s="14" t="n"/>
      <c r="B387" s="12" t="n"/>
      <c r="C387" s="12" t="n"/>
      <c r="D387" s="12" t="n"/>
      <c r="E387" s="12" t="n"/>
      <c r="F387" s="15">
        <f>IF(A387="","",A387-WEEKDAY(A387,2)+1)</f>
        <v/>
      </c>
    </row>
    <row r="388">
      <c r="A388" s="14" t="n"/>
      <c r="B388" s="12" t="n"/>
      <c r="C388" s="12" t="n"/>
      <c r="D388" s="12" t="n"/>
      <c r="E388" s="12" t="n"/>
      <c r="F388" s="15">
        <f>IF(A388="","",A388-WEEKDAY(A388,2)+1)</f>
        <v/>
      </c>
    </row>
    <row r="389">
      <c r="A389" s="14" t="n"/>
      <c r="B389" s="12" t="n"/>
      <c r="C389" s="12" t="n"/>
      <c r="D389" s="12" t="n"/>
      <c r="E389" s="12" t="n"/>
      <c r="F389" s="15">
        <f>IF(A389="","",A389-WEEKDAY(A389,2)+1)</f>
        <v/>
      </c>
    </row>
    <row r="390">
      <c r="A390" s="14" t="n"/>
      <c r="B390" s="12" t="n"/>
      <c r="C390" s="12" t="n"/>
      <c r="D390" s="12" t="n"/>
      <c r="E390" s="12" t="n"/>
      <c r="F390" s="15">
        <f>IF(A390="","",A390-WEEKDAY(A390,2)+1)</f>
        <v/>
      </c>
    </row>
    <row r="391">
      <c r="A391" s="14" t="n"/>
      <c r="B391" s="12" t="n"/>
      <c r="C391" s="12" t="n"/>
      <c r="D391" s="12" t="n"/>
      <c r="E391" s="12" t="n"/>
      <c r="F391" s="15">
        <f>IF(A391="","",A391-WEEKDAY(A391,2)+1)</f>
        <v/>
      </c>
    </row>
    <row r="392">
      <c r="A392" s="14" t="n"/>
      <c r="B392" s="12" t="n"/>
      <c r="C392" s="12" t="n"/>
      <c r="D392" s="12" t="n"/>
      <c r="E392" s="12" t="n"/>
      <c r="F392" s="15">
        <f>IF(A392="","",A392-WEEKDAY(A392,2)+1)</f>
        <v/>
      </c>
    </row>
    <row r="393">
      <c r="A393" s="14" t="n"/>
      <c r="B393" s="12" t="n"/>
      <c r="C393" s="12" t="n"/>
      <c r="D393" s="12" t="n"/>
      <c r="E393" s="12" t="n"/>
      <c r="F393" s="15">
        <f>IF(A393="","",A393-WEEKDAY(A393,2)+1)</f>
        <v/>
      </c>
    </row>
    <row r="394">
      <c r="A394" s="14" t="n"/>
      <c r="B394" s="12" t="n"/>
      <c r="C394" s="12" t="n"/>
      <c r="D394" s="12" t="n"/>
      <c r="E394" s="12" t="n"/>
      <c r="F394" s="15">
        <f>IF(A394="","",A394-WEEKDAY(A394,2)+1)</f>
        <v/>
      </c>
    </row>
    <row r="395">
      <c r="A395" s="14" t="n"/>
      <c r="B395" s="12" t="n"/>
      <c r="C395" s="12" t="n"/>
      <c r="D395" s="12" t="n"/>
      <c r="E395" s="12" t="n"/>
      <c r="F395" s="15">
        <f>IF(A395="","",A395-WEEKDAY(A395,2)+1)</f>
        <v/>
      </c>
    </row>
    <row r="396">
      <c r="A396" s="14" t="n"/>
      <c r="B396" s="12" t="n"/>
      <c r="C396" s="12" t="n"/>
      <c r="D396" s="12" t="n"/>
      <c r="E396" s="12" t="n"/>
      <c r="F396" s="15">
        <f>IF(A396="","",A396-WEEKDAY(A396,2)+1)</f>
        <v/>
      </c>
    </row>
    <row r="397">
      <c r="A397" s="14" t="n"/>
      <c r="B397" s="12" t="n"/>
      <c r="C397" s="12" t="n"/>
      <c r="D397" s="12" t="n"/>
      <c r="E397" s="12" t="n"/>
      <c r="F397" s="15">
        <f>IF(A397="","",A397-WEEKDAY(A397,2)+1)</f>
        <v/>
      </c>
    </row>
    <row r="398">
      <c r="A398" s="14" t="n"/>
      <c r="B398" s="12" t="n"/>
      <c r="C398" s="12" t="n"/>
      <c r="D398" s="12" t="n"/>
      <c r="E398" s="12" t="n"/>
      <c r="F398" s="15">
        <f>IF(A398="","",A398-WEEKDAY(A398,2)+1)</f>
        <v/>
      </c>
    </row>
    <row r="399">
      <c r="A399" s="14" t="n"/>
      <c r="B399" s="12" t="n"/>
      <c r="C399" s="12" t="n"/>
      <c r="D399" s="12" t="n"/>
      <c r="E399" s="12" t="n"/>
      <c r="F399" s="15">
        <f>IF(A399="","",A399-WEEKDAY(A399,2)+1)</f>
        <v/>
      </c>
    </row>
    <row r="400">
      <c r="A400" s="14" t="n"/>
      <c r="B400" s="12" t="n"/>
      <c r="C400" s="12" t="n"/>
      <c r="D400" s="12" t="n"/>
      <c r="E400" s="12" t="n"/>
      <c r="F400" s="15">
        <f>IF(A400="","",A400-WEEKDAY(A400,2)+1)</f>
        <v/>
      </c>
    </row>
    <row r="401">
      <c r="A401" s="14" t="n"/>
      <c r="B401" s="12" t="n"/>
      <c r="C401" s="12" t="n"/>
      <c r="D401" s="12" t="n"/>
      <c r="E401" s="12" t="n"/>
      <c r="F401" s="15">
        <f>IF(A401="","",A401-WEEKDAY(A401,2)+1)</f>
        <v/>
      </c>
    </row>
    <row r="402">
      <c r="A402" s="14" t="n"/>
      <c r="B402" s="12" t="n"/>
      <c r="C402" s="12" t="n"/>
      <c r="D402" s="12" t="n"/>
      <c r="E402" s="12" t="n"/>
      <c r="F402" s="15">
        <f>IF(A402="","",A402-WEEKDAY(A402,2)+1)</f>
        <v/>
      </c>
    </row>
    <row r="403">
      <c r="A403" s="14" t="n"/>
      <c r="B403" s="12" t="n"/>
      <c r="C403" s="12" t="n"/>
      <c r="D403" s="12" t="n"/>
      <c r="E403" s="12" t="n"/>
      <c r="F403" s="15">
        <f>IF(A403="","",A403-WEEKDAY(A403,2)+1)</f>
        <v/>
      </c>
    </row>
    <row r="404">
      <c r="A404" s="14" t="n"/>
      <c r="B404" s="12" t="n"/>
      <c r="C404" s="12" t="n"/>
      <c r="D404" s="12" t="n"/>
      <c r="E404" s="12" t="n"/>
      <c r="F404" s="15">
        <f>IF(A404="","",A404-WEEKDAY(A404,2)+1)</f>
        <v/>
      </c>
    </row>
    <row r="405">
      <c r="A405" s="14" t="n"/>
      <c r="B405" s="12" t="n"/>
      <c r="C405" s="12" t="n"/>
      <c r="D405" s="12" t="n"/>
      <c r="E405" s="12" t="n"/>
      <c r="F405" s="15">
        <f>IF(A405="","",A405-WEEKDAY(A405,2)+1)</f>
        <v/>
      </c>
    </row>
    <row r="406">
      <c r="A406" s="14" t="n"/>
      <c r="B406" s="12" t="n"/>
      <c r="C406" s="12" t="n"/>
      <c r="D406" s="12" t="n"/>
      <c r="E406" s="12" t="n"/>
      <c r="F406" s="15">
        <f>IF(A406="","",A406-WEEKDAY(A406,2)+1)</f>
        <v/>
      </c>
    </row>
    <row r="407">
      <c r="A407" s="14" t="n"/>
      <c r="B407" s="12" t="n"/>
      <c r="C407" s="12" t="n"/>
      <c r="D407" s="12" t="n"/>
      <c r="E407" s="12" t="n"/>
      <c r="F407" s="15">
        <f>IF(A407="","",A407-WEEKDAY(A407,2)+1)</f>
        <v/>
      </c>
    </row>
    <row r="408">
      <c r="A408" s="14" t="n"/>
      <c r="B408" s="12" t="n"/>
      <c r="C408" s="12" t="n"/>
      <c r="D408" s="12" t="n"/>
      <c r="E408" s="12" t="n"/>
      <c r="F408" s="15">
        <f>IF(A408="","",A408-WEEKDAY(A408,2)+1)</f>
        <v/>
      </c>
    </row>
    <row r="409">
      <c r="A409" s="14" t="n"/>
      <c r="B409" s="12" t="n"/>
      <c r="C409" s="12" t="n"/>
      <c r="D409" s="12" t="n"/>
      <c r="E409" s="12" t="n"/>
      <c r="F409" s="15">
        <f>IF(A409="","",A409-WEEKDAY(A409,2)+1)</f>
        <v/>
      </c>
    </row>
    <row r="410">
      <c r="A410" s="14" t="n"/>
      <c r="B410" s="12" t="n"/>
      <c r="C410" s="12" t="n"/>
      <c r="D410" s="12" t="n"/>
      <c r="E410" s="12" t="n"/>
      <c r="F410" s="15">
        <f>IF(A410="","",A410-WEEKDAY(A410,2)+1)</f>
        <v/>
      </c>
    </row>
    <row r="411">
      <c r="A411" s="14" t="n"/>
      <c r="B411" s="12" t="n"/>
      <c r="C411" s="12" t="n"/>
      <c r="D411" s="12" t="n"/>
      <c r="E411" s="12" t="n"/>
      <c r="F411" s="15">
        <f>IF(A411="","",A411-WEEKDAY(A411,2)+1)</f>
        <v/>
      </c>
    </row>
    <row r="412">
      <c r="A412" s="14" t="n"/>
      <c r="B412" s="12" t="n"/>
      <c r="C412" s="12" t="n"/>
      <c r="D412" s="12" t="n"/>
      <c r="E412" s="12" t="n"/>
      <c r="F412" s="15">
        <f>IF(A412="","",A412-WEEKDAY(A412,2)+1)</f>
        <v/>
      </c>
    </row>
    <row r="413">
      <c r="A413" s="14" t="n"/>
      <c r="B413" s="12" t="n"/>
      <c r="C413" s="12" t="n"/>
      <c r="D413" s="12" t="n"/>
      <c r="E413" s="12" t="n"/>
      <c r="F413" s="15">
        <f>IF(A413="","",A413-WEEKDAY(A413,2)+1)</f>
        <v/>
      </c>
    </row>
    <row r="414">
      <c r="A414" s="14" t="n"/>
      <c r="B414" s="12" t="n"/>
      <c r="C414" s="12" t="n"/>
      <c r="D414" s="12" t="n"/>
      <c r="E414" s="12" t="n"/>
      <c r="F414" s="15">
        <f>IF(A414="","",A414-WEEKDAY(A414,2)+1)</f>
        <v/>
      </c>
    </row>
    <row r="415">
      <c r="A415" s="14" t="n"/>
      <c r="B415" s="12" t="n"/>
      <c r="C415" s="12" t="n"/>
      <c r="D415" s="12" t="n"/>
      <c r="E415" s="12" t="n"/>
      <c r="F415" s="15">
        <f>IF(A415="","",A415-WEEKDAY(A415,2)+1)</f>
        <v/>
      </c>
    </row>
    <row r="416">
      <c r="A416" s="14" t="n"/>
      <c r="B416" s="12" t="n"/>
      <c r="C416" s="12" t="n"/>
      <c r="D416" s="12" t="n"/>
      <c r="E416" s="12" t="n"/>
      <c r="F416" s="15">
        <f>IF(A416="","",A416-WEEKDAY(A416,2)+1)</f>
        <v/>
      </c>
    </row>
    <row r="417">
      <c r="A417" s="14" t="n"/>
      <c r="B417" s="12" t="n"/>
      <c r="C417" s="12" t="n"/>
      <c r="D417" s="12" t="n"/>
      <c r="E417" s="12" t="n"/>
      <c r="F417" s="15">
        <f>IF(A417="","",A417-WEEKDAY(A417,2)+1)</f>
        <v/>
      </c>
    </row>
    <row r="418">
      <c r="A418" s="14" t="n"/>
      <c r="B418" s="12" t="n"/>
      <c r="C418" s="12" t="n"/>
      <c r="D418" s="12" t="n"/>
      <c r="E418" s="12" t="n"/>
      <c r="F418" s="15">
        <f>IF(A418="","",A418-WEEKDAY(A418,2)+1)</f>
        <v/>
      </c>
    </row>
    <row r="419">
      <c r="A419" s="14" t="n"/>
      <c r="B419" s="12" t="n"/>
      <c r="C419" s="12" t="n"/>
      <c r="D419" s="12" t="n"/>
      <c r="E419" s="12" t="n"/>
      <c r="F419" s="15">
        <f>IF(A419="","",A419-WEEKDAY(A419,2)+1)</f>
        <v/>
      </c>
    </row>
    <row r="420">
      <c r="A420" s="14" t="n"/>
      <c r="B420" s="12" t="n"/>
      <c r="C420" s="12" t="n"/>
      <c r="D420" s="12" t="n"/>
      <c r="E420" s="12" t="n"/>
      <c r="F420" s="15">
        <f>IF(A420="","",A420-WEEKDAY(A420,2)+1)</f>
        <v/>
      </c>
    </row>
    <row r="421">
      <c r="A421" s="14" t="n"/>
      <c r="B421" s="12" t="n"/>
      <c r="C421" s="12" t="n"/>
      <c r="D421" s="12" t="n"/>
      <c r="E421" s="12" t="n"/>
      <c r="F421" s="15">
        <f>IF(A421="","",A421-WEEKDAY(A421,2)+1)</f>
        <v/>
      </c>
    </row>
    <row r="422">
      <c r="A422" s="14" t="n"/>
      <c r="B422" s="12" t="n"/>
      <c r="C422" s="12" t="n"/>
      <c r="D422" s="12" t="n"/>
      <c r="E422" s="12" t="n"/>
      <c r="F422" s="15">
        <f>IF(A422="","",A422-WEEKDAY(A422,2)+1)</f>
        <v/>
      </c>
    </row>
    <row r="423">
      <c r="A423" s="14" t="n"/>
      <c r="B423" s="12" t="n"/>
      <c r="C423" s="12" t="n"/>
      <c r="D423" s="12" t="n"/>
      <c r="E423" s="12" t="n"/>
      <c r="F423" s="15">
        <f>IF(A423="","",A423-WEEKDAY(A423,2)+1)</f>
        <v/>
      </c>
    </row>
    <row r="424">
      <c r="A424" s="14" t="n"/>
      <c r="B424" s="12" t="n"/>
      <c r="C424" s="12" t="n"/>
      <c r="D424" s="12" t="n"/>
      <c r="E424" s="12" t="n"/>
      <c r="F424" s="15">
        <f>IF(A424="","",A424-WEEKDAY(A424,2)+1)</f>
        <v/>
      </c>
    </row>
    <row r="425">
      <c r="A425" s="14" t="n"/>
      <c r="B425" s="12" t="n"/>
      <c r="C425" s="12" t="n"/>
      <c r="D425" s="12" t="n"/>
      <c r="E425" s="12" t="n"/>
      <c r="F425" s="15">
        <f>IF(A425="","",A425-WEEKDAY(A425,2)+1)</f>
        <v/>
      </c>
    </row>
    <row r="426">
      <c r="A426" s="14" t="n"/>
      <c r="B426" s="12" t="n"/>
      <c r="C426" s="12" t="n"/>
      <c r="D426" s="12" t="n"/>
      <c r="E426" s="12" t="n"/>
      <c r="F426" s="15">
        <f>IF(A426="","",A426-WEEKDAY(A426,2)+1)</f>
        <v/>
      </c>
    </row>
    <row r="427">
      <c r="A427" s="14" t="n"/>
      <c r="B427" s="12" t="n"/>
      <c r="C427" s="12" t="n"/>
      <c r="D427" s="12" t="n"/>
      <c r="E427" s="12" t="n"/>
      <c r="F427" s="15">
        <f>IF(A427="","",A427-WEEKDAY(A427,2)+1)</f>
        <v/>
      </c>
    </row>
    <row r="428">
      <c r="A428" s="14" t="n"/>
      <c r="B428" s="12" t="n"/>
      <c r="C428" s="12" t="n"/>
      <c r="D428" s="12" t="n"/>
      <c r="E428" s="12" t="n"/>
      <c r="F428" s="15">
        <f>IF(A428="","",A428-WEEKDAY(A428,2)+1)</f>
        <v/>
      </c>
    </row>
    <row r="429">
      <c r="A429" s="14" t="n"/>
      <c r="B429" s="12" t="n"/>
      <c r="C429" s="12" t="n"/>
      <c r="D429" s="12" t="n"/>
      <c r="E429" s="12" t="n"/>
      <c r="F429" s="15">
        <f>IF(A429="","",A429-WEEKDAY(A429,2)+1)</f>
        <v/>
      </c>
    </row>
    <row r="430">
      <c r="A430" s="14" t="n"/>
      <c r="B430" s="12" t="n"/>
      <c r="C430" s="12" t="n"/>
      <c r="D430" s="12" t="n"/>
      <c r="E430" s="12" t="n"/>
      <c r="F430" s="15">
        <f>IF(A430="","",A430-WEEKDAY(A430,2)+1)</f>
        <v/>
      </c>
    </row>
    <row r="431">
      <c r="A431" s="14" t="n"/>
      <c r="B431" s="12" t="n"/>
      <c r="C431" s="12" t="n"/>
      <c r="D431" s="12" t="n"/>
      <c r="E431" s="12" t="n"/>
      <c r="F431" s="15">
        <f>IF(A431="","",A431-WEEKDAY(A431,2)+1)</f>
        <v/>
      </c>
    </row>
    <row r="432">
      <c r="A432" s="14" t="n"/>
      <c r="B432" s="12" t="n"/>
      <c r="C432" s="12" t="n"/>
      <c r="D432" s="12" t="n"/>
      <c r="E432" s="12" t="n"/>
      <c r="F432" s="15">
        <f>IF(A432="","",A432-WEEKDAY(A432,2)+1)</f>
        <v/>
      </c>
    </row>
    <row r="433">
      <c r="A433" s="14" t="n"/>
      <c r="B433" s="12" t="n"/>
      <c r="C433" s="12" t="n"/>
      <c r="D433" s="12" t="n"/>
      <c r="E433" s="12" t="n"/>
      <c r="F433" s="15">
        <f>IF(A433="","",A433-WEEKDAY(A433,2)+1)</f>
        <v/>
      </c>
    </row>
    <row r="434">
      <c r="A434" s="14" t="n"/>
      <c r="B434" s="12" t="n"/>
      <c r="C434" s="12" t="n"/>
      <c r="D434" s="12" t="n"/>
      <c r="E434" s="12" t="n"/>
      <c r="F434" s="15">
        <f>IF(A434="","",A434-WEEKDAY(A434,2)+1)</f>
        <v/>
      </c>
    </row>
    <row r="435">
      <c r="A435" s="14" t="n"/>
      <c r="B435" s="12" t="n"/>
      <c r="C435" s="12" t="n"/>
      <c r="D435" s="12" t="n"/>
      <c r="E435" s="12" t="n"/>
      <c r="F435" s="15">
        <f>IF(A435="","",A435-WEEKDAY(A435,2)+1)</f>
        <v/>
      </c>
    </row>
    <row r="436">
      <c r="A436" s="14" t="n"/>
      <c r="B436" s="12" t="n"/>
      <c r="C436" s="12" t="n"/>
      <c r="D436" s="12" t="n"/>
      <c r="E436" s="12" t="n"/>
      <c r="F436" s="15">
        <f>IF(A436="","",A436-WEEKDAY(A436,2)+1)</f>
        <v/>
      </c>
    </row>
    <row r="437">
      <c r="A437" s="14" t="n"/>
      <c r="B437" s="12" t="n"/>
      <c r="C437" s="12" t="n"/>
      <c r="D437" s="12" t="n"/>
      <c r="E437" s="12" t="n"/>
      <c r="F437" s="15">
        <f>IF(A437="","",A437-WEEKDAY(A437,2)+1)</f>
        <v/>
      </c>
    </row>
    <row r="438">
      <c r="A438" s="14" t="n"/>
      <c r="B438" s="12" t="n"/>
      <c r="C438" s="12" t="n"/>
      <c r="D438" s="12" t="n"/>
      <c r="E438" s="12" t="n"/>
      <c r="F438" s="15">
        <f>IF(A438="","",A438-WEEKDAY(A438,2)+1)</f>
        <v/>
      </c>
    </row>
    <row r="439">
      <c r="A439" s="14" t="n"/>
      <c r="B439" s="12" t="n"/>
      <c r="C439" s="12" t="n"/>
      <c r="D439" s="12" t="n"/>
      <c r="E439" s="12" t="n"/>
      <c r="F439" s="15">
        <f>IF(A439="","",A439-WEEKDAY(A439,2)+1)</f>
        <v/>
      </c>
    </row>
    <row r="440">
      <c r="A440" s="14" t="n"/>
      <c r="B440" s="12" t="n"/>
      <c r="C440" s="12" t="n"/>
      <c r="D440" s="12" t="n"/>
      <c r="E440" s="12" t="n"/>
      <c r="F440" s="15">
        <f>IF(A440="","",A440-WEEKDAY(A440,2)+1)</f>
        <v/>
      </c>
    </row>
    <row r="441">
      <c r="A441" s="14" t="n"/>
      <c r="B441" s="12" t="n"/>
      <c r="C441" s="12" t="n"/>
      <c r="D441" s="12" t="n"/>
      <c r="E441" s="12" t="n"/>
      <c r="F441" s="15">
        <f>IF(A441="","",A441-WEEKDAY(A441,2)+1)</f>
        <v/>
      </c>
    </row>
    <row r="442">
      <c r="A442" s="14" t="n"/>
      <c r="B442" s="12" t="n"/>
      <c r="C442" s="12" t="n"/>
      <c r="D442" s="12" t="n"/>
      <c r="E442" s="12" t="n"/>
      <c r="F442" s="15">
        <f>IF(A442="","",A442-WEEKDAY(A442,2)+1)</f>
        <v/>
      </c>
    </row>
    <row r="443">
      <c r="A443" s="14" t="n"/>
      <c r="B443" s="12" t="n"/>
      <c r="C443" s="12" t="n"/>
      <c r="D443" s="12" t="n"/>
      <c r="E443" s="12" t="n"/>
      <c r="F443" s="15">
        <f>IF(A443="","",A443-WEEKDAY(A443,2)+1)</f>
        <v/>
      </c>
    </row>
    <row r="444">
      <c r="A444" s="14" t="n"/>
      <c r="B444" s="12" t="n"/>
      <c r="C444" s="12" t="n"/>
      <c r="D444" s="12" t="n"/>
      <c r="E444" s="12" t="n"/>
      <c r="F444" s="15">
        <f>IF(A444="","",A444-WEEKDAY(A444,2)+1)</f>
        <v/>
      </c>
    </row>
    <row r="445">
      <c r="A445" s="14" t="n"/>
      <c r="B445" s="12" t="n"/>
      <c r="C445" s="12" t="n"/>
      <c r="D445" s="12" t="n"/>
      <c r="E445" s="12" t="n"/>
      <c r="F445" s="15">
        <f>IF(A445="","",A445-WEEKDAY(A445,2)+1)</f>
        <v/>
      </c>
    </row>
    <row r="446">
      <c r="A446" s="14" t="n"/>
      <c r="B446" s="12" t="n"/>
      <c r="C446" s="12" t="n"/>
      <c r="D446" s="12" t="n"/>
      <c r="E446" s="12" t="n"/>
      <c r="F446" s="15">
        <f>IF(A446="","",A446-WEEKDAY(A446,2)+1)</f>
        <v/>
      </c>
    </row>
    <row r="447">
      <c r="A447" s="14" t="n"/>
      <c r="B447" s="12" t="n"/>
      <c r="C447" s="12" t="n"/>
      <c r="D447" s="12" t="n"/>
      <c r="E447" s="12" t="n"/>
      <c r="F447" s="15">
        <f>IF(A447="","",A447-WEEKDAY(A447,2)+1)</f>
        <v/>
      </c>
    </row>
    <row r="448">
      <c r="A448" s="14" t="n"/>
      <c r="B448" s="12" t="n"/>
      <c r="C448" s="12" t="n"/>
      <c r="D448" s="12" t="n"/>
      <c r="E448" s="12" t="n"/>
      <c r="F448" s="15">
        <f>IF(A448="","",A448-WEEKDAY(A448,2)+1)</f>
        <v/>
      </c>
    </row>
    <row r="449">
      <c r="A449" s="14" t="n"/>
      <c r="B449" s="12" t="n"/>
      <c r="C449" s="12" t="n"/>
      <c r="D449" s="12" t="n"/>
      <c r="E449" s="12" t="n"/>
      <c r="F449" s="15">
        <f>IF(A449="","",A449-WEEKDAY(A449,2)+1)</f>
        <v/>
      </c>
    </row>
    <row r="450">
      <c r="A450" s="14" t="n"/>
      <c r="B450" s="12" t="n"/>
      <c r="C450" s="12" t="n"/>
      <c r="D450" s="12" t="n"/>
      <c r="E450" s="12" t="n"/>
      <c r="F450" s="15">
        <f>IF(A450="","",A450-WEEKDAY(A450,2)+1)</f>
        <v/>
      </c>
    </row>
    <row r="451">
      <c r="A451" s="14" t="n"/>
      <c r="B451" s="12" t="n"/>
      <c r="C451" s="12" t="n"/>
      <c r="D451" s="12" t="n"/>
      <c r="E451" s="12" t="n"/>
      <c r="F451" s="15">
        <f>IF(A451="","",A451-WEEKDAY(A451,2)+1)</f>
        <v/>
      </c>
    </row>
    <row r="452">
      <c r="A452" s="14" t="n"/>
      <c r="B452" s="12" t="n"/>
      <c r="C452" s="12" t="n"/>
      <c r="D452" s="12" t="n"/>
      <c r="E452" s="12" t="n"/>
      <c r="F452" s="15">
        <f>IF(A452="","",A452-WEEKDAY(A452,2)+1)</f>
        <v/>
      </c>
    </row>
    <row r="453">
      <c r="A453" s="14" t="n"/>
      <c r="B453" s="12" t="n"/>
      <c r="C453" s="12" t="n"/>
      <c r="D453" s="12" t="n"/>
      <c r="E453" s="12" t="n"/>
      <c r="F453" s="15">
        <f>IF(A453="","",A453-WEEKDAY(A453,2)+1)</f>
        <v/>
      </c>
    </row>
    <row r="454">
      <c r="A454" s="14" t="n"/>
      <c r="B454" s="12" t="n"/>
      <c r="C454" s="12" t="n"/>
      <c r="D454" s="12" t="n"/>
      <c r="E454" s="12" t="n"/>
      <c r="F454" s="15">
        <f>IF(A454="","",A454-WEEKDAY(A454,2)+1)</f>
        <v/>
      </c>
    </row>
    <row r="455">
      <c r="A455" s="14" t="n"/>
      <c r="B455" s="12" t="n"/>
      <c r="C455" s="12" t="n"/>
      <c r="D455" s="12" t="n"/>
      <c r="E455" s="12" t="n"/>
      <c r="F455" s="15">
        <f>IF(A455="","",A455-WEEKDAY(A455,2)+1)</f>
        <v/>
      </c>
    </row>
    <row r="456">
      <c r="A456" s="14" t="n"/>
      <c r="B456" s="12" t="n"/>
      <c r="C456" s="12" t="n"/>
      <c r="D456" s="12" t="n"/>
      <c r="E456" s="12" t="n"/>
      <c r="F456" s="15">
        <f>IF(A456="","",A456-WEEKDAY(A456,2)+1)</f>
        <v/>
      </c>
    </row>
    <row r="457">
      <c r="A457" s="14" t="n"/>
      <c r="B457" s="12" t="n"/>
      <c r="C457" s="12" t="n"/>
      <c r="D457" s="12" t="n"/>
      <c r="E457" s="12" t="n"/>
      <c r="F457" s="15">
        <f>IF(A457="","",A457-WEEKDAY(A457,2)+1)</f>
        <v/>
      </c>
    </row>
    <row r="458">
      <c r="A458" s="14" t="n"/>
      <c r="B458" s="12" t="n"/>
      <c r="C458" s="12" t="n"/>
      <c r="D458" s="12" t="n"/>
      <c r="E458" s="12" t="n"/>
      <c r="F458" s="15">
        <f>IF(A458="","",A458-WEEKDAY(A458,2)+1)</f>
        <v/>
      </c>
    </row>
    <row r="459">
      <c r="A459" s="14" t="n"/>
      <c r="B459" s="12" t="n"/>
      <c r="C459" s="12" t="n"/>
      <c r="D459" s="12" t="n"/>
      <c r="E459" s="12" t="n"/>
      <c r="F459" s="15">
        <f>IF(A459="","",A459-WEEKDAY(A459,2)+1)</f>
        <v/>
      </c>
    </row>
    <row r="460">
      <c r="A460" s="14" t="n"/>
      <c r="B460" s="12" t="n"/>
      <c r="C460" s="12" t="n"/>
      <c r="D460" s="12" t="n"/>
      <c r="E460" s="12" t="n"/>
      <c r="F460" s="15">
        <f>IF(A460="","",A460-WEEKDAY(A460,2)+1)</f>
        <v/>
      </c>
    </row>
    <row r="461">
      <c r="A461" s="14" t="n"/>
      <c r="B461" s="12" t="n"/>
      <c r="C461" s="12" t="n"/>
      <c r="D461" s="12" t="n"/>
      <c r="E461" s="12" t="n"/>
      <c r="F461" s="15">
        <f>IF(A461="","",A461-WEEKDAY(A461,2)+1)</f>
        <v/>
      </c>
    </row>
    <row r="462">
      <c r="A462" s="14" t="n"/>
      <c r="B462" s="12" t="n"/>
      <c r="C462" s="12" t="n"/>
      <c r="D462" s="12" t="n"/>
      <c r="E462" s="12" t="n"/>
      <c r="F462" s="15">
        <f>IF(A462="","",A462-WEEKDAY(A462,2)+1)</f>
        <v/>
      </c>
    </row>
    <row r="463">
      <c r="A463" s="14" t="n"/>
      <c r="B463" s="12" t="n"/>
      <c r="C463" s="12" t="n"/>
      <c r="D463" s="12" t="n"/>
      <c r="E463" s="12" t="n"/>
      <c r="F463" s="15">
        <f>IF(A463="","",A463-WEEKDAY(A463,2)+1)</f>
        <v/>
      </c>
    </row>
    <row r="464">
      <c r="A464" s="14" t="n"/>
      <c r="B464" s="12" t="n"/>
      <c r="C464" s="12" t="n"/>
      <c r="D464" s="12" t="n"/>
      <c r="E464" s="12" t="n"/>
      <c r="F464" s="15">
        <f>IF(A464="","",A464-WEEKDAY(A464,2)+1)</f>
        <v/>
      </c>
    </row>
    <row r="465">
      <c r="A465" s="14" t="n"/>
      <c r="B465" s="12" t="n"/>
      <c r="C465" s="12" t="n"/>
      <c r="D465" s="12" t="n"/>
      <c r="E465" s="12" t="n"/>
      <c r="F465" s="15">
        <f>IF(A465="","",A465-WEEKDAY(A465,2)+1)</f>
        <v/>
      </c>
    </row>
    <row r="466">
      <c r="A466" s="14" t="n"/>
      <c r="B466" s="12" t="n"/>
      <c r="C466" s="12" t="n"/>
      <c r="D466" s="12" t="n"/>
      <c r="E466" s="12" t="n"/>
      <c r="F466" s="15">
        <f>IF(A466="","",A466-WEEKDAY(A466,2)+1)</f>
        <v/>
      </c>
    </row>
    <row r="467">
      <c r="A467" s="14" t="n"/>
      <c r="B467" s="12" t="n"/>
      <c r="C467" s="12" t="n"/>
      <c r="D467" s="12" t="n"/>
      <c r="E467" s="12" t="n"/>
      <c r="F467" s="15">
        <f>IF(A467="","",A467-WEEKDAY(A467,2)+1)</f>
        <v/>
      </c>
    </row>
    <row r="468">
      <c r="A468" s="14" t="n"/>
      <c r="B468" s="12" t="n"/>
      <c r="C468" s="12" t="n"/>
      <c r="D468" s="12" t="n"/>
      <c r="E468" s="12" t="n"/>
      <c r="F468" s="15">
        <f>IF(A468="","",A468-WEEKDAY(A468,2)+1)</f>
        <v/>
      </c>
    </row>
    <row r="469">
      <c r="A469" s="14" t="n"/>
      <c r="B469" s="12" t="n"/>
      <c r="C469" s="12" t="n"/>
      <c r="D469" s="12" t="n"/>
      <c r="E469" s="12" t="n"/>
      <c r="F469" s="15">
        <f>IF(A469="","",A469-WEEKDAY(A469,2)+1)</f>
        <v/>
      </c>
    </row>
    <row r="470">
      <c r="A470" s="14" t="n"/>
      <c r="B470" s="12" t="n"/>
      <c r="C470" s="12" t="n"/>
      <c r="D470" s="12" t="n"/>
      <c r="E470" s="12" t="n"/>
      <c r="F470" s="15">
        <f>IF(A470="","",A470-WEEKDAY(A470,2)+1)</f>
        <v/>
      </c>
    </row>
    <row r="471">
      <c r="A471" s="14" t="n"/>
      <c r="B471" s="12" t="n"/>
      <c r="C471" s="12" t="n"/>
      <c r="D471" s="12" t="n"/>
      <c r="E471" s="12" t="n"/>
      <c r="F471" s="15">
        <f>IF(A471="","",A471-WEEKDAY(A471,2)+1)</f>
        <v/>
      </c>
    </row>
    <row r="472">
      <c r="A472" s="14" t="n"/>
      <c r="B472" s="12" t="n"/>
      <c r="C472" s="12" t="n"/>
      <c r="D472" s="12" t="n"/>
      <c r="E472" s="12" t="n"/>
      <c r="F472" s="15">
        <f>IF(A472="","",A472-WEEKDAY(A472,2)+1)</f>
        <v/>
      </c>
    </row>
    <row r="473">
      <c r="A473" s="14" t="n"/>
      <c r="B473" s="12" t="n"/>
      <c r="C473" s="12" t="n"/>
      <c r="D473" s="12" t="n"/>
      <c r="E473" s="12" t="n"/>
      <c r="F473" s="15">
        <f>IF(A473="","",A473-WEEKDAY(A473,2)+1)</f>
        <v/>
      </c>
    </row>
    <row r="474">
      <c r="A474" s="14" t="n"/>
      <c r="B474" s="12" t="n"/>
      <c r="C474" s="12" t="n"/>
      <c r="D474" s="12" t="n"/>
      <c r="E474" s="12" t="n"/>
      <c r="F474" s="15">
        <f>IF(A474="","",A474-WEEKDAY(A474,2)+1)</f>
        <v/>
      </c>
    </row>
    <row r="475">
      <c r="A475" s="14" t="n"/>
      <c r="B475" s="12" t="n"/>
      <c r="C475" s="12" t="n"/>
      <c r="D475" s="12" t="n"/>
      <c r="E475" s="12" t="n"/>
      <c r="F475" s="15">
        <f>IF(A475="","",A475-WEEKDAY(A475,2)+1)</f>
        <v/>
      </c>
    </row>
    <row r="476">
      <c r="A476" s="14" t="n"/>
      <c r="B476" s="12" t="n"/>
      <c r="C476" s="12" t="n"/>
      <c r="D476" s="12" t="n"/>
      <c r="E476" s="12" t="n"/>
      <c r="F476" s="15">
        <f>IF(A476="","",A476-WEEKDAY(A476,2)+1)</f>
        <v/>
      </c>
    </row>
    <row r="477">
      <c r="A477" s="14" t="n"/>
      <c r="B477" s="12" t="n"/>
      <c r="C477" s="12" t="n"/>
      <c r="D477" s="12" t="n"/>
      <c r="E477" s="12" t="n"/>
      <c r="F477" s="15">
        <f>IF(A477="","",A477-WEEKDAY(A477,2)+1)</f>
        <v/>
      </c>
    </row>
    <row r="478">
      <c r="A478" s="14" t="n"/>
      <c r="B478" s="12" t="n"/>
      <c r="C478" s="12" t="n"/>
      <c r="D478" s="12" t="n"/>
      <c r="E478" s="12" t="n"/>
      <c r="F478" s="15">
        <f>IF(A478="","",A478-WEEKDAY(A478,2)+1)</f>
        <v/>
      </c>
    </row>
    <row r="479">
      <c r="A479" s="14" t="n"/>
      <c r="B479" s="12" t="n"/>
      <c r="C479" s="12" t="n"/>
      <c r="D479" s="12" t="n"/>
      <c r="E479" s="12" t="n"/>
      <c r="F479" s="15">
        <f>IF(A479="","",A479-WEEKDAY(A479,2)+1)</f>
        <v/>
      </c>
    </row>
    <row r="480">
      <c r="A480" s="14" t="n"/>
      <c r="B480" s="12" t="n"/>
      <c r="C480" s="12" t="n"/>
      <c r="D480" s="12" t="n"/>
      <c r="E480" s="12" t="n"/>
      <c r="F480" s="15">
        <f>IF(A480="","",A480-WEEKDAY(A480,2)+1)</f>
        <v/>
      </c>
    </row>
    <row r="481">
      <c r="A481" s="14" t="n"/>
      <c r="B481" s="12" t="n"/>
      <c r="C481" s="12" t="n"/>
      <c r="D481" s="12" t="n"/>
      <c r="E481" s="12" t="n"/>
      <c r="F481" s="15">
        <f>IF(A481="","",A481-WEEKDAY(A481,2)+1)</f>
        <v/>
      </c>
    </row>
    <row r="482">
      <c r="A482" s="14" t="n"/>
      <c r="B482" s="12" t="n"/>
      <c r="C482" s="12" t="n"/>
      <c r="D482" s="12" t="n"/>
      <c r="E482" s="12" t="n"/>
      <c r="F482" s="15">
        <f>IF(A482="","",A482-WEEKDAY(A482,2)+1)</f>
        <v/>
      </c>
    </row>
    <row r="483">
      <c r="A483" s="14" t="n"/>
      <c r="B483" s="12" t="n"/>
      <c r="C483" s="12" t="n"/>
      <c r="D483" s="12" t="n"/>
      <c r="E483" s="12" t="n"/>
      <c r="F483" s="15">
        <f>IF(A483="","",A483-WEEKDAY(A483,2)+1)</f>
        <v/>
      </c>
    </row>
    <row r="484">
      <c r="A484" s="14" t="n"/>
      <c r="B484" s="12" t="n"/>
      <c r="C484" s="12" t="n"/>
      <c r="D484" s="12" t="n"/>
      <c r="E484" s="12" t="n"/>
      <c r="F484" s="15">
        <f>IF(A484="","",A484-WEEKDAY(A484,2)+1)</f>
        <v/>
      </c>
    </row>
    <row r="485">
      <c r="A485" s="14" t="n"/>
      <c r="B485" s="12" t="n"/>
      <c r="C485" s="12" t="n"/>
      <c r="D485" s="12" t="n"/>
      <c r="E485" s="12" t="n"/>
      <c r="F485" s="15">
        <f>IF(A485="","",A485-WEEKDAY(A485,2)+1)</f>
        <v/>
      </c>
    </row>
    <row r="486">
      <c r="A486" s="14" t="n"/>
      <c r="B486" s="12" t="n"/>
      <c r="C486" s="12" t="n"/>
      <c r="D486" s="12" t="n"/>
      <c r="E486" s="12" t="n"/>
      <c r="F486" s="15">
        <f>IF(A486="","",A486-WEEKDAY(A486,2)+1)</f>
        <v/>
      </c>
    </row>
    <row r="487">
      <c r="A487" s="14" t="n"/>
      <c r="B487" s="12" t="n"/>
      <c r="C487" s="12" t="n"/>
      <c r="D487" s="12" t="n"/>
      <c r="E487" s="12" t="n"/>
      <c r="F487" s="15">
        <f>IF(A487="","",A487-WEEKDAY(A487,2)+1)</f>
        <v/>
      </c>
    </row>
    <row r="488">
      <c r="A488" s="14" t="n"/>
      <c r="B488" s="12" t="n"/>
      <c r="C488" s="12" t="n"/>
      <c r="D488" s="12" t="n"/>
      <c r="E488" s="12" t="n"/>
      <c r="F488" s="15">
        <f>IF(A488="","",A488-WEEKDAY(A488,2)+1)</f>
        <v/>
      </c>
    </row>
    <row r="489">
      <c r="A489" s="14" t="n"/>
      <c r="B489" s="12" t="n"/>
      <c r="C489" s="12" t="n"/>
      <c r="D489" s="12" t="n"/>
      <c r="E489" s="12" t="n"/>
      <c r="F489" s="15">
        <f>IF(A489="","",A489-WEEKDAY(A489,2)+1)</f>
        <v/>
      </c>
    </row>
    <row r="490">
      <c r="A490" s="14" t="n"/>
      <c r="B490" s="12" t="n"/>
      <c r="C490" s="12" t="n"/>
      <c r="D490" s="12" t="n"/>
      <c r="E490" s="12" t="n"/>
      <c r="F490" s="15">
        <f>IF(A490="","",A490-WEEKDAY(A490,2)+1)</f>
        <v/>
      </c>
    </row>
    <row r="491">
      <c r="A491" s="14" t="n"/>
      <c r="B491" s="12" t="n"/>
      <c r="C491" s="12" t="n"/>
      <c r="D491" s="12" t="n"/>
      <c r="E491" s="12" t="n"/>
      <c r="F491" s="15">
        <f>IF(A491="","",A491-WEEKDAY(A491,2)+1)</f>
        <v/>
      </c>
    </row>
    <row r="492">
      <c r="A492" s="14" t="n"/>
      <c r="B492" s="12" t="n"/>
      <c r="C492" s="12" t="n"/>
      <c r="D492" s="12" t="n"/>
      <c r="E492" s="12" t="n"/>
      <c r="F492" s="15">
        <f>IF(A492="","",A492-WEEKDAY(A492,2)+1)</f>
        <v/>
      </c>
    </row>
    <row r="493">
      <c r="A493" s="14" t="n"/>
      <c r="B493" s="12" t="n"/>
      <c r="C493" s="12" t="n"/>
      <c r="D493" s="12" t="n"/>
      <c r="E493" s="12" t="n"/>
      <c r="F493" s="15">
        <f>IF(A493="","",A493-WEEKDAY(A493,2)+1)</f>
        <v/>
      </c>
    </row>
    <row r="494">
      <c r="A494" s="14" t="n"/>
      <c r="B494" s="12" t="n"/>
      <c r="C494" s="12" t="n"/>
      <c r="D494" s="12" t="n"/>
      <c r="E494" s="12" t="n"/>
      <c r="F494" s="15">
        <f>IF(A494="","",A494-WEEKDAY(A494,2)+1)</f>
        <v/>
      </c>
    </row>
    <row r="495">
      <c r="A495" s="14" t="n"/>
      <c r="B495" s="12" t="n"/>
      <c r="C495" s="12" t="n"/>
      <c r="D495" s="12" t="n"/>
      <c r="E495" s="12" t="n"/>
      <c r="F495" s="15">
        <f>IF(A495="","",A495-WEEKDAY(A495,2)+1)</f>
        <v/>
      </c>
    </row>
    <row r="496">
      <c r="A496" s="14" t="n"/>
      <c r="B496" s="12" t="n"/>
      <c r="C496" s="12" t="n"/>
      <c r="D496" s="12" t="n"/>
      <c r="E496" s="12" t="n"/>
      <c r="F496" s="15">
        <f>IF(A496="","",A496-WEEKDAY(A496,2)+1)</f>
        <v/>
      </c>
    </row>
    <row r="497">
      <c r="A497" s="14" t="n"/>
      <c r="B497" s="12" t="n"/>
      <c r="C497" s="12" t="n"/>
      <c r="D497" s="12" t="n"/>
      <c r="E497" s="12" t="n"/>
      <c r="F497" s="15">
        <f>IF(A497="","",A497-WEEKDAY(A497,2)+1)</f>
        <v/>
      </c>
    </row>
    <row r="498">
      <c r="A498" s="14" t="n"/>
      <c r="B498" s="12" t="n"/>
      <c r="C498" s="12" t="n"/>
      <c r="D498" s="12" t="n"/>
      <c r="E498" s="12" t="n"/>
      <c r="F498" s="15">
        <f>IF(A498="","",A498-WEEKDAY(A498,2)+1)</f>
        <v/>
      </c>
    </row>
    <row r="499">
      <c r="A499" s="14" t="n"/>
      <c r="B499" s="12" t="n"/>
      <c r="C499" s="12" t="n"/>
      <c r="D499" s="12" t="n"/>
      <c r="E499" s="12" t="n"/>
      <c r="F499" s="15">
        <f>IF(A499="","",A499-WEEKDAY(A499,2)+1)</f>
        <v/>
      </c>
    </row>
    <row r="500">
      <c r="A500" s="14" t="n"/>
      <c r="B500" s="12" t="n"/>
      <c r="C500" s="12" t="n"/>
      <c r="D500" s="12" t="n"/>
      <c r="E500" s="12" t="n"/>
      <c r="F500" s="15">
        <f>IF(A500="","",A500-WEEKDAY(A500,2)+1)</f>
        <v/>
      </c>
    </row>
    <row r="501">
      <c r="A501" s="14" t="n"/>
      <c r="B501" s="12" t="n"/>
      <c r="C501" s="12" t="n"/>
      <c r="D501" s="12" t="n"/>
      <c r="E501" s="12" t="n"/>
      <c r="F501" s="15">
        <f>IF(A501="","",A501-WEEKDAY(A501,2)+1)</f>
        <v/>
      </c>
    </row>
    <row r="502">
      <c r="A502" s="14" t="n"/>
      <c r="B502" s="12" t="n"/>
      <c r="C502" s="12" t="n"/>
      <c r="D502" s="12" t="n"/>
      <c r="E502" s="12" t="n"/>
      <c r="F502" s="15">
        <f>IF(A502="","",A502-WEEKDAY(A502,2)+1)</f>
        <v/>
      </c>
    </row>
    <row r="503">
      <c r="A503" s="14" t="n"/>
      <c r="B503" s="12" t="n"/>
      <c r="C503" s="12" t="n"/>
      <c r="D503" s="12" t="n"/>
      <c r="E503" s="12" t="n"/>
      <c r="F503" s="15">
        <f>IF(A503="","",A503-WEEKDAY(A503,2)+1)</f>
        <v/>
      </c>
    </row>
    <row r="504">
      <c r="A504" s="14" t="n"/>
      <c r="B504" s="12" t="n"/>
      <c r="C504" s="12" t="n"/>
      <c r="D504" s="12" t="n"/>
      <c r="E504" s="12" t="n"/>
      <c r="F504" s="15">
        <f>IF(A504="","",A504-WEEKDAY(A504,2)+1)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2026-10-03T00:37:18Z</dcterms:created>
  <dcterms:modified xsi:type="dcterms:W3CDTF">2026-10-03T00:37:18Z</dcterms:modified>
</cp:coreProperties>
</file>